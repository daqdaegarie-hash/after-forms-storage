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백업파일_20190104\2025 교감업무도움자료_제출용\복무 및 인사관련\11. 학교폭력가산점\새 폴더\"/>
    </mc:Choice>
  </mc:AlternateContent>
  <bookViews>
    <workbookView xWindow="600" yWindow="60" windowWidth="12915" windowHeight="8730" tabRatio="778" activeTab="3"/>
  </bookViews>
  <sheets>
    <sheet name="1.배정인원참고표" sheetId="3" r:id="rId1"/>
    <sheet name="2.교별통계(공통)" sheetId="5" r:id="rId2"/>
    <sheet name="3.신청명부(초)" sheetId="8" r:id="rId3"/>
    <sheet name="4.신청명부(중)" sheetId="12" r:id="rId4"/>
    <sheet name="5.신청명부(고)" sheetId="13" r:id="rId5"/>
    <sheet name="6.신청명부(특수)" sheetId="1" r:id="rId6"/>
    <sheet name="7.신청명부(지역교육청)" sheetId="14" r:id="rId7"/>
  </sheets>
  <calcPr calcId="162913"/>
</workbook>
</file>

<file path=xl/calcChain.xml><?xml version="1.0" encoding="utf-8"?>
<calcChain xmlns="http://schemas.openxmlformats.org/spreadsheetml/2006/main">
  <c r="R6" i="5" l="1"/>
  <c r="AA6" i="5"/>
  <c r="Y6" i="5"/>
  <c r="O6" i="5"/>
  <c r="S6" i="5" l="1"/>
  <c r="T6" i="5" s="1"/>
  <c r="V6" i="5" s="1"/>
  <c r="D102" i="3" l="1"/>
  <c r="AA5" i="5"/>
  <c r="Y5" i="5" s="1"/>
  <c r="R5" i="5" l="1"/>
  <c r="O5" i="5"/>
  <c r="D103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S5" i="5" l="1"/>
  <c r="T5" i="5" s="1"/>
  <c r="V5" i="5" s="1"/>
</calcChain>
</file>

<file path=xl/comments1.xml><?xml version="1.0" encoding="utf-8"?>
<comments xmlns="http://schemas.openxmlformats.org/spreadsheetml/2006/main">
  <authors>
    <author>user</author>
    <author>User-AHCI</author>
  </authors>
  <commentList>
    <comment ref="AC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교감이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학교는
담당부장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U4" authorId="1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교육지원청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직속기관</t>
        </r>
        <r>
          <rPr>
            <sz val="9"/>
            <color indexed="81"/>
            <rFont val="Tahoma"/>
            <family val="2"/>
          </rPr>
          <t xml:space="preserve"> , </t>
        </r>
        <r>
          <rPr>
            <sz val="9"/>
            <color indexed="81"/>
            <rFont val="돋움"/>
            <family val="3"/>
            <charset val="129"/>
          </rPr>
          <t>타시도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파견교원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별도정원이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교원수는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제외함</t>
        </r>
        <r>
          <rPr>
            <sz val="9"/>
            <color indexed="81"/>
            <rFont val="Tahoma"/>
            <family val="2"/>
          </rPr>
          <t xml:space="preserve">.
-  </t>
        </r>
        <r>
          <rPr>
            <sz val="9"/>
            <color indexed="81"/>
            <rFont val="돋움"/>
            <family val="3"/>
            <charset val="129"/>
          </rPr>
          <t>정원에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파견교사는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미기재
</t>
        </r>
        <r>
          <rPr>
            <sz val="9"/>
            <color indexed="81"/>
            <rFont val="Tahoma"/>
            <family val="2"/>
          </rPr>
          <t>- 9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신규발령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과원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정원에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신규교사는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미기재</t>
        </r>
      </text>
    </comment>
    <comment ref="V4" authorId="1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돋움"/>
            <family val="3"/>
            <charset val="129"/>
          </rPr>
          <t>교원정원</t>
        </r>
        <r>
          <rPr>
            <sz val="9"/>
            <color indexed="81"/>
            <rFont val="Tahoma"/>
            <family val="2"/>
          </rPr>
          <t xml:space="preserve">+ </t>
        </r>
        <r>
          <rPr>
            <sz val="9"/>
            <color indexed="81"/>
            <rFont val="돋움"/>
            <family val="3"/>
            <charset val="129"/>
          </rPr>
          <t>파견교원에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별도정원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>+ 9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신규발령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과원</t>
        </r>
        <r>
          <rPr>
            <sz val="9"/>
            <color indexed="81"/>
            <rFont val="Tahoma"/>
            <family val="2"/>
          </rPr>
          <t>)
-</t>
        </r>
        <r>
          <rPr>
            <sz val="9"/>
            <color indexed="81"/>
            <rFont val="돋움"/>
            <family val="3"/>
            <charset val="129"/>
          </rPr>
          <t>정원에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신규교사는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미기재</t>
        </r>
      </text>
    </comment>
    <comment ref="X4" authorId="1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담임이면서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학폭업무들
담당할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10"/>
            <rFont val="맑은 고딕"/>
            <family val="3"/>
            <charset val="129"/>
          </rPr>
          <t>담임란에 
기재</t>
        </r>
      </text>
    </comment>
  </commentList>
</comments>
</file>

<file path=xl/comments2.xml><?xml version="1.0" encoding="utf-8"?>
<comments xmlns="http://schemas.openxmlformats.org/spreadsheetml/2006/main">
  <authors>
    <author>User-AHCI</author>
    <author>User-H61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교육지원청에서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학교에서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부여인원에
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J2" authorId="1" shapeId="0">
      <text>
        <r>
          <rPr>
            <b/>
            <sz val="9"/>
            <color indexed="81"/>
            <rFont val="Tahoma"/>
            <family val="2"/>
          </rPr>
          <t>User-H61: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2"/>
            <rFont val="맑은 고딕"/>
            <family val="3"/>
            <charset val="129"/>
          </rPr>
          <t>- 담임과 학폭업무 겸할 시 담임만 기재: 담임
- 담임은 맡지 않고 학폭업무 여러 개 겸할 시 대표적인 것 하나만 기재: 인성부교사
- 담임, 학폭업무 담당자 외 교사는 이외 라고 기재: 이외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담임이면서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학폭업무를
담당한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담임란에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sz val="9"/>
            <color indexed="81"/>
            <rFont val="돋움"/>
            <family val="3"/>
            <charset val="129"/>
          </rPr>
          <t>시</t>
        </r>
      </text>
    </comment>
  </commentList>
</comments>
</file>

<file path=xl/comments3.xml><?xml version="1.0" encoding="utf-8"?>
<comments xmlns="http://schemas.openxmlformats.org/spreadsheetml/2006/main">
  <authors>
    <author>User-AHCI</author>
    <author>User-H61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교육지원청에서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학교에서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부여인원에
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J2" authorId="1" shapeId="0">
      <text>
        <r>
          <rPr>
            <b/>
            <sz val="9"/>
            <color indexed="81"/>
            <rFont val="Tahoma"/>
            <family val="2"/>
          </rPr>
          <t>User-H61: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2"/>
            <rFont val="맑은 고딕"/>
            <family val="3"/>
            <charset val="129"/>
          </rPr>
          <t>- 담임과 학폭업무 겸할 시 담임만 기재: 담임
- 담임은 맡지 않고 학폭업무 여러 개 겸할 시 대표적인 것 하나만 기재: 인성부교사
- 담임, 학폭업무 담당자 외 교사는 이외 라고 기재: 이외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담임이면서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학폭업무를
담당한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담임란에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sz val="9"/>
            <color indexed="81"/>
            <rFont val="돋움"/>
            <family val="3"/>
            <charset val="129"/>
          </rPr>
          <t>시</t>
        </r>
      </text>
    </comment>
  </commentList>
</comments>
</file>

<file path=xl/comments4.xml><?xml version="1.0" encoding="utf-8"?>
<comments xmlns="http://schemas.openxmlformats.org/spreadsheetml/2006/main">
  <authors>
    <author>User-AHCI</author>
    <author>User-H61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교육지원청에서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학교에서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부여인원에
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J2" authorId="1" shapeId="0">
      <text>
        <r>
          <rPr>
            <b/>
            <sz val="9"/>
            <color indexed="81"/>
            <rFont val="Tahoma"/>
            <family val="2"/>
          </rPr>
          <t>User-H61: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12"/>
            <rFont val="맑은 고딕"/>
            <family val="3"/>
            <charset val="129"/>
          </rPr>
          <t>- 담임과 학폭업무 겸할 시 담임만 기재: 담임
- 담임은 맡지 않고 학폭업무 여러 개 겸할 시 대표적인 것 하나만 기재: 인성부교사
- 담임, 학폭업무 담당자 외 교사는 이외 라고 기재: 이외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담임이면서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학폭업무를
담당한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담임란에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sz val="9"/>
            <color indexed="81"/>
            <rFont val="돋움"/>
            <family val="3"/>
            <charset val="129"/>
          </rPr>
          <t>시</t>
        </r>
      </text>
    </comment>
  </commentList>
</comments>
</file>

<file path=xl/comments5.xml><?xml version="1.0" encoding="utf-8"?>
<comments xmlns="http://schemas.openxmlformats.org/spreadsheetml/2006/main">
  <authors>
    <author>User-AHCI</author>
    <author>User-H61</author>
  </authors>
  <commentList>
    <comment ref="A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교육지원청에서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지역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명단을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취합하여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학교에서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부여인원에
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부여</t>
        </r>
      </text>
    </comment>
    <comment ref="K2" authorId="1" shapeId="0">
      <text>
        <r>
          <rPr>
            <b/>
            <sz val="9"/>
            <color indexed="81"/>
            <rFont val="Tahoma"/>
            <family val="2"/>
          </rPr>
          <t>User-H61: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담임과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담임만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 xml:space="preserve">담임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담임은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맡지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대표적인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 xml:space="preserve">인성부교사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담임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학폭업무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담당자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그외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</rPr>
          <t>User-AHCI: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담임이면서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학폭업무를
담당한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10"/>
            <rFont val="맑은 고딕"/>
            <family val="3"/>
            <charset val="129"/>
          </rPr>
          <t xml:space="preserve"> </t>
        </r>
        <r>
          <rPr>
            <b/>
            <sz val="9"/>
            <color indexed="10"/>
            <rFont val="맑은 고딕"/>
            <family val="3"/>
            <charset val="129"/>
          </rPr>
          <t>담임란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sz val="9"/>
            <color indexed="81"/>
            <rFont val="돋움"/>
            <family val="3"/>
            <charset val="129"/>
          </rPr>
          <t>시</t>
        </r>
      </text>
    </comment>
  </commentList>
</comments>
</file>

<file path=xl/sharedStrings.xml><?xml version="1.0" encoding="utf-8"?>
<sst xmlns="http://schemas.openxmlformats.org/spreadsheetml/2006/main" count="283" uniqueCount="125">
  <si>
    <t>학교명</t>
    <phoneticPr fontId="1" type="noConversion"/>
  </si>
  <si>
    <t>학년</t>
    <phoneticPr fontId="1" type="noConversion"/>
  </si>
  <si>
    <t>반</t>
    <phoneticPr fontId="1" type="noConversion"/>
  </si>
  <si>
    <t>가산점
부여대상
교원명</t>
    <phoneticPr fontId="1" type="noConversion"/>
  </si>
  <si>
    <t>○○○○학교</t>
    <phoneticPr fontId="1" type="noConversion"/>
  </si>
  <si>
    <t>그 외 20%배정인원</t>
    <phoneticPr fontId="1" type="noConversion"/>
  </si>
  <si>
    <t>학폭업무</t>
    <phoneticPr fontId="1" type="noConversion"/>
  </si>
  <si>
    <t>담임</t>
    <phoneticPr fontId="1" type="noConversion"/>
  </si>
  <si>
    <t>이외 교원</t>
    <phoneticPr fontId="1" type="noConversion"/>
  </si>
  <si>
    <t>홍○○</t>
    <phoneticPr fontId="1" type="noConversion"/>
  </si>
  <si>
    <t>교사</t>
    <phoneticPr fontId="1" type="noConversion"/>
  </si>
  <si>
    <t>김○○</t>
    <phoneticPr fontId="1" type="noConversion"/>
  </si>
  <si>
    <t>이○○</t>
    <phoneticPr fontId="1" type="noConversion"/>
  </si>
  <si>
    <t>학교폭력 예방 및 해결 기여 교원 승진가산점 대상자 배정 인원</t>
    <phoneticPr fontId="1" type="noConversion"/>
  </si>
  <si>
    <t>교원 정원</t>
    <phoneticPr fontId="1" type="noConversion"/>
  </si>
  <si>
    <t>교원정원 40%(절상)
배정인원</t>
    <phoneticPr fontId="1" type="noConversion"/>
  </si>
  <si>
    <t>담임 및 학교폭력업무 관련
 80% 배정인원(절상)</t>
    <phoneticPr fontId="1" type="noConversion"/>
  </si>
  <si>
    <t>* 설립별 : 국립, 공립</t>
    <phoneticPr fontId="1" type="noConversion"/>
  </si>
  <si>
    <t>지역</t>
    <phoneticPr fontId="1" type="noConversion"/>
  </si>
  <si>
    <t>급별</t>
    <phoneticPr fontId="1" type="noConversion"/>
  </si>
  <si>
    <t>설립별</t>
    <phoneticPr fontId="1" type="noConversion"/>
  </si>
  <si>
    <t>교원 총 정원</t>
    <phoneticPr fontId="1" type="noConversion"/>
  </si>
  <si>
    <t>1학년</t>
    <phoneticPr fontId="1" type="noConversion"/>
  </si>
  <si>
    <t>2학년</t>
    <phoneticPr fontId="1" type="noConversion"/>
  </si>
  <si>
    <t>3학년</t>
    <phoneticPr fontId="1" type="noConversion"/>
  </si>
  <si>
    <t>4학년</t>
    <phoneticPr fontId="1" type="noConversion"/>
  </si>
  <si>
    <t>5학년</t>
    <phoneticPr fontId="1" type="noConversion"/>
  </si>
  <si>
    <t>6학년</t>
    <phoneticPr fontId="1" type="noConversion"/>
  </si>
  <si>
    <t>계</t>
    <phoneticPr fontId="1" type="noConversion"/>
  </si>
  <si>
    <t>교원정원</t>
    <phoneticPr fontId="1" type="noConversion"/>
  </si>
  <si>
    <t>학교별
연번</t>
    <phoneticPr fontId="1" type="noConversion"/>
  </si>
  <si>
    <t>직위</t>
    <phoneticPr fontId="1" type="noConversion"/>
  </si>
  <si>
    <t>급별</t>
    <phoneticPr fontId="1" type="noConversion"/>
  </si>
  <si>
    <t>설립별</t>
    <phoneticPr fontId="1" type="noConversion"/>
  </si>
  <si>
    <r>
      <t xml:space="preserve">담임/학폭업무/이외교사구분
</t>
    </r>
    <r>
      <rPr>
        <sz val="10"/>
        <color rgb="FFFF0000"/>
        <rFont val="맑은 고딕"/>
        <family val="3"/>
        <charset val="129"/>
        <scheme val="minor"/>
      </rPr>
      <t>(해당란에 "1"로 기재)</t>
    </r>
    <phoneticPr fontId="1" type="noConversion"/>
  </si>
  <si>
    <t>* 필요시 줄 삽입하여 작성</t>
    <phoneticPr fontId="1" type="noConversion"/>
  </si>
  <si>
    <t>작성자명
(휴대전화)</t>
    <phoneticPr fontId="1" type="noConversion"/>
  </si>
  <si>
    <t>특수반</t>
    <phoneticPr fontId="1" type="noConversion"/>
  </si>
  <si>
    <t>담임(학급수)</t>
    <phoneticPr fontId="1" type="noConversion"/>
  </si>
  <si>
    <t>기타</t>
    <phoneticPr fontId="1" type="noConversion"/>
  </si>
  <si>
    <t>전담교사</t>
    <phoneticPr fontId="1" type="noConversion"/>
  </si>
  <si>
    <t>비교과교사</t>
    <phoneticPr fontId="1" type="noConversion"/>
  </si>
  <si>
    <t>* 수석교사는 전담에 기록하지 말고 반드시 수석에 별도작성</t>
    <phoneticPr fontId="1" type="noConversion"/>
  </si>
  <si>
    <t>교장</t>
    <phoneticPr fontId="1" type="noConversion"/>
  </si>
  <si>
    <t>교감</t>
    <phoneticPr fontId="1" type="noConversion"/>
  </si>
  <si>
    <t>수석
교사</t>
    <phoneticPr fontId="1" type="noConversion"/>
  </si>
  <si>
    <t>총계</t>
    <phoneticPr fontId="1" type="noConversion"/>
  </si>
  <si>
    <t>승진가산점 부여 대상자 수(정원의 40%)</t>
    <phoneticPr fontId="1" type="noConversion"/>
  </si>
  <si>
    <t>초</t>
    <phoneticPr fontId="1" type="noConversion"/>
  </si>
  <si>
    <t>공립</t>
    <phoneticPr fontId="1" type="noConversion"/>
  </si>
  <si>
    <t>NEIS개인번호</t>
    <phoneticPr fontId="1" type="noConversion"/>
  </si>
  <si>
    <t>S101000000</t>
    <phoneticPr fontId="1" type="noConversion"/>
  </si>
  <si>
    <t>학교(기관)명
(정식명칭기록)</t>
    <phoneticPr fontId="1" type="noConversion"/>
  </si>
  <si>
    <t>공립</t>
    <phoneticPr fontId="1" type="noConversion"/>
  </si>
  <si>
    <t>교감 OOO
(000-0000-0000)</t>
    <phoneticPr fontId="1" type="noConversion"/>
  </si>
  <si>
    <t>지역별
전체
연번</t>
    <phoneticPr fontId="1" type="noConversion"/>
  </si>
  <si>
    <t>특수</t>
    <phoneticPr fontId="1" type="noConversion"/>
  </si>
  <si>
    <t>고</t>
    <phoneticPr fontId="1" type="noConversion"/>
  </si>
  <si>
    <t>가산점 부여 대상 총인원</t>
    <phoneticPr fontId="1" type="noConversion"/>
  </si>
  <si>
    <t>담임및학폭업무
 이외 교원</t>
    <phoneticPr fontId="1" type="noConversion"/>
  </si>
  <si>
    <t>비율(%)</t>
    <phoneticPr fontId="1" type="noConversion"/>
  </si>
  <si>
    <t>담임 및 학폭업무담당자</t>
    <phoneticPr fontId="1" type="noConversion"/>
  </si>
  <si>
    <t>창원
(예시)</t>
    <phoneticPr fontId="1" type="noConversion"/>
  </si>
  <si>
    <t>* 비교과교사 : 보건교사, 영양교사, 사서교사, 상담교사 중 배정받은 정원 수를 작성</t>
    <phoneticPr fontId="1" type="noConversion"/>
  </si>
  <si>
    <t>파견교사
(별도정원)
9월 신규발령(과원)</t>
    <phoneticPr fontId="1" type="noConversion"/>
  </si>
  <si>
    <t>* 셀 서식 및 수식 변경 금지
* 시트명 변경 금지</t>
    <phoneticPr fontId="1" type="noConversion"/>
  </si>
  <si>
    <t>담임</t>
    <phoneticPr fontId="1" type="noConversion"/>
  </si>
  <si>
    <t>전담사감</t>
    <phoneticPr fontId="1" type="noConversion"/>
  </si>
  <si>
    <t>그외</t>
    <phoneticPr fontId="1" type="noConversion"/>
  </si>
  <si>
    <t>담임(인성부 교사) - 담임만 기재</t>
    <phoneticPr fontId="1" type="noConversion"/>
  </si>
  <si>
    <t xml:space="preserve">* 작성 순서 : 학교별로 담임교사 → 학교폭력업무담당자 → 담임 및 학교폭력업무담당자 이외 교사 </t>
    <phoneticPr fontId="1" type="noConversion"/>
  </si>
  <si>
    <t>초등/중등</t>
    <phoneticPr fontId="1" type="noConversion"/>
  </si>
  <si>
    <t xml:space="preserve">* 작성 순서 - 초등: 담임교사 → 학교폭력업무담당자 → 담임 및 학교폭력업무담당자 이외 교사 
                 중등: 담임교사 → 학교폭력업무담당자 → 담임 및 학교폭력업무담당자 이외 교사 </t>
    <phoneticPr fontId="1" type="noConversion"/>
  </si>
  <si>
    <t>중등</t>
    <phoneticPr fontId="1" type="noConversion"/>
  </si>
  <si>
    <t>인성부교사</t>
    <phoneticPr fontId="1" type="noConversion"/>
  </si>
  <si>
    <t>홍인성</t>
    <phoneticPr fontId="1" type="noConversion"/>
  </si>
  <si>
    <t>김성실</t>
    <phoneticPr fontId="1" type="noConversion"/>
  </si>
  <si>
    <t>이정직</t>
    <phoneticPr fontId="1" type="noConversion"/>
  </si>
  <si>
    <t>* 지역교육청은 학교 자료 취합 후 초, 중, 고, 특수, 지역교육청별로 별도 시트 5개로 작성</t>
    <phoneticPr fontId="1" type="noConversion"/>
  </si>
  <si>
    <t>* 지역교육청은 학교 자료 취합 후 초, 중, 고, 특수, 지역교육청 별로 별도 시트 5개로 작성</t>
    <phoneticPr fontId="1" type="noConversion"/>
  </si>
  <si>
    <r>
      <t>담당업무</t>
    </r>
    <r>
      <rPr>
        <sz val="10"/>
        <color rgb="FF0000FF"/>
        <rFont val="맑은 고딕"/>
        <family val="3"/>
        <charset val="129"/>
        <scheme val="minor"/>
      </rPr>
      <t xml:space="preserve"> (1가지만 기재)</t>
    </r>
    <phoneticPr fontId="1" type="noConversion"/>
  </si>
  <si>
    <t>담임(학폭자치위원)- 담임만 기재</t>
    <phoneticPr fontId="1" type="noConversion"/>
  </si>
  <si>
    <t>이외</t>
    <phoneticPr fontId="1" type="noConversion"/>
  </si>
  <si>
    <t>중</t>
    <phoneticPr fontId="1" type="noConversion"/>
  </si>
  <si>
    <t>* 급별 : 초,중,고,특,지역교육청</t>
    <phoneticPr fontId="1" type="noConversion"/>
  </si>
  <si>
    <t>학폭대책자치위원</t>
    <phoneticPr fontId="1" type="noConversion"/>
  </si>
  <si>
    <t>* 중,고등학교는 1,2,3학년, 특수반만 기재(4,5,6학년 공란)</t>
    <phoneticPr fontId="1" type="noConversion"/>
  </si>
  <si>
    <t>* 일반학교 특수학급은 학년에 포함하지 말고 특수반셀에 작성</t>
    <phoneticPr fontId="1" type="noConversion"/>
  </si>
  <si>
    <t>교장명
(학교전화)</t>
    <phoneticPr fontId="1" type="noConversion"/>
  </si>
  <si>
    <t>OOO
(000-0000)</t>
    <phoneticPr fontId="1" type="noConversion"/>
  </si>
  <si>
    <t>* 지역 : 학교 소속 지원청명</t>
    <phoneticPr fontId="1" type="noConversion"/>
  </si>
  <si>
    <t>지역청명</t>
    <phoneticPr fontId="1" type="noConversion"/>
  </si>
  <si>
    <t>○○지역청</t>
    <phoneticPr fontId="1" type="noConversion"/>
  </si>
  <si>
    <t>특수반</t>
    <phoneticPr fontId="1" type="noConversion"/>
  </si>
  <si>
    <t>전공</t>
    <phoneticPr fontId="1" type="noConversion"/>
  </si>
  <si>
    <t>홍정직</t>
    <phoneticPr fontId="1" type="noConversion"/>
  </si>
  <si>
    <t>이최선</t>
    <phoneticPr fontId="1" type="noConversion"/>
  </si>
  <si>
    <t>학폭담당업무(내용)</t>
    <phoneticPr fontId="1" type="noConversion"/>
  </si>
  <si>
    <r>
      <t>담당업무</t>
    </r>
    <r>
      <rPr>
        <sz val="10"/>
        <color rgb="FFFF0000"/>
        <rFont val="맑은 고딕"/>
        <family val="3"/>
        <charset val="129"/>
        <scheme val="minor"/>
      </rPr>
      <t xml:space="preserve"> (1가지만 기재)</t>
    </r>
    <phoneticPr fontId="1" type="noConversion"/>
  </si>
  <si>
    <r>
      <t xml:space="preserve">담당업무 </t>
    </r>
    <r>
      <rPr>
        <sz val="10"/>
        <color rgb="FFFF0000"/>
        <rFont val="맑은 고딕"/>
        <family val="3"/>
        <charset val="129"/>
        <scheme val="minor"/>
      </rPr>
      <t>(1가지만 기재)</t>
    </r>
    <phoneticPr fontId="1" type="noConversion"/>
  </si>
  <si>
    <t>중등</t>
    <phoneticPr fontId="1" type="noConversion"/>
  </si>
  <si>
    <t>초등</t>
    <phoneticPr fontId="1" type="noConversion"/>
  </si>
  <si>
    <t>* 지역교육청은 학교 자료 취합 후 초, 중, 고, 특수학교(초,중), 지역교육청 순으로 1개의 시트로 작성
  (분교는 본교 바로 아래에 작성)</t>
    <phoneticPr fontId="1" type="noConversion"/>
  </si>
  <si>
    <r>
      <t xml:space="preserve">담임여부
</t>
    </r>
    <r>
      <rPr>
        <sz val="10"/>
        <color rgb="FFFF0000"/>
        <rFont val="맑은 고딕"/>
        <family val="3"/>
        <charset val="129"/>
        <scheme val="minor"/>
      </rPr>
      <t>(비담임 미기재)</t>
    </r>
    <phoneticPr fontId="1" type="noConversion"/>
  </si>
  <si>
    <t>지역청소속교사
연번</t>
    <phoneticPr fontId="1" type="noConversion"/>
  </si>
  <si>
    <t>*  분교가 있는 학교는 이 양식을 2개의 시트로 작성하여 시트1(본교), 시트2(분교)로 제출</t>
    <phoneticPr fontId="1" type="noConversion"/>
  </si>
  <si>
    <t>*  분교가 있는 학교는 이 양식을 2개의 시트로 작성하여 시트1(본교), 시트2(분교)로 제출</t>
    <phoneticPr fontId="1" type="noConversion"/>
  </si>
  <si>
    <t>*  특수학교는 이 양식을 2개의 시트로 작성하여 시트1(초등), 시트2(중등)로 제출</t>
    <phoneticPr fontId="1" type="noConversion"/>
  </si>
  <si>
    <r>
      <t>* 정원 대비 승진 가산점 부여 대상자 수(40%, 소수점 절상): 시트1 참조 -</t>
    </r>
    <r>
      <rPr>
        <b/>
        <sz val="11"/>
        <color rgb="FFFF0000"/>
        <rFont val="맑은 고딕"/>
        <family val="3"/>
        <charset val="129"/>
        <scheme val="minor"/>
      </rPr>
      <t xml:space="preserve"> 10% 가산 학교는 정원의 50%(소수점 절상)</t>
    </r>
    <r>
      <rPr>
        <b/>
        <sz val="11"/>
        <color rgb="FF0000FF"/>
        <rFont val="맑은 고딕"/>
        <family val="3"/>
        <charset val="129"/>
        <scheme val="minor"/>
      </rPr>
      <t xml:space="preserve">
  </t>
    </r>
    <r>
      <rPr>
        <b/>
        <sz val="11"/>
        <color rgb="FFFF0000"/>
        <rFont val="맑은 고딕"/>
        <family val="3"/>
        <charset val="129"/>
        <scheme val="minor"/>
      </rPr>
      <t>첨부한 학교별 승진가산점 인정 정원(시트1 확인 필수)</t>
    </r>
    <phoneticPr fontId="1" type="noConversion"/>
  </si>
  <si>
    <r>
      <t xml:space="preserve">* 필수증빙자료 제출 : 2018학년도 업무분장표 (학교장 직인 날인 후 스캔하여 교육지원청으로 제출,  교육지원청에서 확인 후 보관,  도교육청 제출 불요)
                            </t>
    </r>
    <r>
      <rPr>
        <b/>
        <sz val="12"/>
        <color rgb="FF0000FF"/>
        <rFont val="맑은 고딕"/>
        <family val="3"/>
        <charset val="129"/>
        <scheme val="minor"/>
      </rPr>
      <t>학폭자치위원, 학폭전담기구위원, 전담사감 등 업무분장표에 없는 경우</t>
    </r>
    <r>
      <rPr>
        <b/>
        <sz val="12"/>
        <color rgb="FFFF0000"/>
        <rFont val="맑은 고딕"/>
        <family val="3"/>
        <charset val="129"/>
        <scheme val="minor"/>
      </rPr>
      <t xml:space="preserve"> 증빙자료 제출 필수
</t>
    </r>
    <r>
      <rPr>
        <b/>
        <sz val="12"/>
        <color rgb="FF0000FF"/>
        <rFont val="맑은 고딕"/>
        <family val="3"/>
        <charset val="129"/>
        <scheme val="minor"/>
      </rPr>
      <t xml:space="preserve">* 담임, 학교폭력담당업무교사 이외 교사를 임의로 담임, 학교폭력담당업무교사에 기재하여 지침을 위반한 학교의 경우 지침에 의거 10% 감축 </t>
    </r>
    <phoneticPr fontId="1" type="noConversion"/>
  </si>
  <si>
    <r>
      <t xml:space="preserve">* 필수증빙자료 제출 : 2018학년도 업무분장표 (학교장 직인 날인 후 스캔하여 교육지원청으로 제출,  교육지원청에서 확인 후 보관,  도교육청 제출 불요)
                            </t>
    </r>
    <r>
      <rPr>
        <b/>
        <sz val="12"/>
        <color rgb="FF0000FF"/>
        <rFont val="맑은 고딕"/>
        <family val="3"/>
        <charset val="129"/>
        <scheme val="minor"/>
      </rPr>
      <t>학폭자치위원, 학폭전담기구위원, 전담사감 등이 업무분장표에 없는 경우</t>
    </r>
    <r>
      <rPr>
        <b/>
        <sz val="12"/>
        <color rgb="FFFF0000"/>
        <rFont val="맑은 고딕"/>
        <family val="3"/>
        <charset val="129"/>
        <scheme val="minor"/>
      </rPr>
      <t xml:space="preserve"> 증빙자료 제출 필수
</t>
    </r>
    <r>
      <rPr>
        <b/>
        <sz val="12"/>
        <color rgb="FF0000FF"/>
        <rFont val="맑은 고딕"/>
        <family val="3"/>
        <charset val="129"/>
        <scheme val="minor"/>
      </rPr>
      <t xml:space="preserve">* 담임, 학교폭력담당업무교사 이외 교사를 임의로 담임, 학교폭력담당업무교사에 기재하여 지침을 위반한 학교의 경우 지침에 의거 10% 감축 </t>
    </r>
    <phoneticPr fontId="1" type="noConversion"/>
  </si>
  <si>
    <r>
      <t xml:space="preserve">* 필수증빙자료 제출 : 2018학년도 업무분장표 (교육장 직인 날인 후 스캔하여 교육지원 담당자 확인 후 보관,  도교육청 제출 불요)
                            </t>
    </r>
    <r>
      <rPr>
        <b/>
        <sz val="12"/>
        <color rgb="FF0000FF"/>
        <rFont val="맑은 고딕"/>
        <family val="3"/>
        <charset val="129"/>
        <scheme val="minor"/>
      </rPr>
      <t>학폭업무 담당 등이 업무분장표에 없는 경우</t>
    </r>
    <r>
      <rPr>
        <b/>
        <sz val="12"/>
        <color rgb="FFFF0000"/>
        <rFont val="맑은 고딕"/>
        <family val="3"/>
        <charset val="129"/>
        <scheme val="minor"/>
      </rPr>
      <t xml:space="preserve"> 증빙자료 별도 보관
</t>
    </r>
    <r>
      <rPr>
        <b/>
        <sz val="12"/>
        <color rgb="FF0000FF"/>
        <rFont val="맑은 고딕"/>
        <family val="3"/>
        <charset val="129"/>
        <scheme val="minor"/>
      </rPr>
      <t xml:space="preserve">* 학교폭력담당업무교사 이외 교사를 임의로 학교폭력담당업무교사에 기재하여 지침을 위반한 경우 지침에 의거 10% 감축 </t>
    </r>
    <phoneticPr fontId="1" type="noConversion"/>
  </si>
  <si>
    <t>노란셀은 작성하지 말것</t>
    <phoneticPr fontId="1" type="noConversion"/>
  </si>
  <si>
    <t>6명</t>
    <phoneticPr fontId="1" type="noConversion"/>
  </si>
  <si>
    <t>중</t>
    <phoneticPr fontId="1" type="noConversion"/>
  </si>
  <si>
    <t>공립</t>
    <phoneticPr fontId="1" type="noConversion"/>
  </si>
  <si>
    <t>교사</t>
    <phoneticPr fontId="1" type="noConversion"/>
  </si>
  <si>
    <t>00중학교</t>
  </si>
  <si>
    <t>00중학교</t>
    <phoneticPr fontId="1" type="noConversion"/>
  </si>
  <si>
    <r>
      <t>20○○. 학교폭력 예방 및 해결 기여 교원 승진가산점 부여 대상자 명단</t>
    </r>
    <r>
      <rPr>
        <b/>
        <sz val="26"/>
        <color rgb="FFFF0000"/>
        <rFont val="HY수평선B"/>
        <family val="1"/>
        <charset val="129"/>
      </rPr>
      <t>(중)</t>
    </r>
    <phoneticPr fontId="1" type="noConversion"/>
  </si>
  <si>
    <r>
      <t>20○○. 학교폭력 예방 및 해결 기여 교원 승진가산점 부여 대상자 명단</t>
    </r>
    <r>
      <rPr>
        <b/>
        <sz val="26"/>
        <color rgb="FFFF0000"/>
        <rFont val="HY수평선B"/>
        <family val="1"/>
        <charset val="129"/>
      </rPr>
      <t>(고)</t>
    </r>
    <phoneticPr fontId="1" type="noConversion"/>
  </si>
  <si>
    <r>
      <t>20○○. 학교폭력 예방 및 해결 기여 교원 승진가산점 부여 대상자 명단</t>
    </r>
    <r>
      <rPr>
        <b/>
        <sz val="26"/>
        <color rgb="FFFF0000"/>
        <rFont val="HY수평선B"/>
        <family val="1"/>
        <charset val="129"/>
      </rPr>
      <t>(특수)</t>
    </r>
    <phoneticPr fontId="1" type="noConversion"/>
  </si>
  <si>
    <r>
      <t>20○○. 학교폭력 예방 및 해결 기여 교원 승진가산점 부여 대상자 명단</t>
    </r>
    <r>
      <rPr>
        <b/>
        <sz val="26"/>
        <color rgb="FFFF0000"/>
        <rFont val="HY수평선B"/>
        <family val="1"/>
        <charset val="129"/>
      </rPr>
      <t>(지역청)</t>
    </r>
    <phoneticPr fontId="1" type="noConversion"/>
  </si>
  <si>
    <r>
      <t>20○○. 학교폭력 예방 및 해결 기여 교원 승진가산점 부여 대상자 명단</t>
    </r>
    <r>
      <rPr>
        <b/>
        <sz val="26"/>
        <color rgb="FFFF0000"/>
        <rFont val="HY수평선B"/>
        <family val="1"/>
        <charset val="129"/>
      </rPr>
      <t>(초)</t>
    </r>
    <phoneticPr fontId="1" type="noConversion"/>
  </si>
  <si>
    <r>
      <t>20○○. 학교폭력 예방 및 해결 기여 교원 승진가산점 부여 대상자 통계</t>
    </r>
    <r>
      <rPr>
        <b/>
        <sz val="24"/>
        <color rgb="FFFF0000"/>
        <rFont val="HY수평선B"/>
        <family val="1"/>
        <charset val="129"/>
      </rPr>
      <t>(전학교용)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</si>
</sst>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_ "/>
  </numFmts>
  <fonts count="3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66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6"/>
      <color theme="1"/>
      <name val="HY견고딕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6"/>
      <color theme="1"/>
      <name val="HY수평선B"/>
      <family val="1"/>
      <charset val="129"/>
    </font>
    <font>
      <b/>
      <sz val="16"/>
      <color theme="1"/>
      <name val="HY수평선B"/>
      <family val="1"/>
      <charset val="129"/>
    </font>
    <font>
      <b/>
      <sz val="24"/>
      <color theme="1"/>
      <name val="HY수평선B"/>
      <family val="1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4"/>
      <color rgb="FF0000FF"/>
      <name val="HY수평선B"/>
      <family val="1"/>
      <charset val="129"/>
    </font>
    <font>
      <b/>
      <sz val="9"/>
      <color indexed="10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9"/>
      <color indexed="12"/>
      <name val="맑은 고딕"/>
      <family val="3"/>
      <charset val="129"/>
    </font>
    <font>
      <b/>
      <sz val="26"/>
      <color rgb="FFFF0000"/>
      <name val="HY수평선B"/>
      <family val="1"/>
      <charset val="129"/>
    </font>
    <font>
      <b/>
      <sz val="24"/>
      <color rgb="FFFF0000"/>
      <name val="HY수평선B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9" fontId="0" fillId="2" borderId="1" xfId="0" applyNumberForma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1" fillId="0" borderId="0" xfId="0" applyFont="1" applyAlignment="1">
      <alignment horizontal="center" vertical="center" shrinkToFit="1"/>
    </xf>
    <xf numFmtId="0" fontId="11" fillId="3" borderId="1" xfId="0" applyFont="1" applyFill="1" applyBorder="1" applyAlignment="1">
      <alignment vertical="center" shrinkToFit="1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24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 shrinkToFit="1"/>
    </xf>
    <xf numFmtId="0" fontId="25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177" fontId="25" fillId="4" borderId="0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0" borderId="1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7" fillId="0" borderId="0" xfId="0" applyFont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1" xfId="0" applyFont="1" applyFill="1" applyBorder="1">
      <alignment vertical="center"/>
    </xf>
    <xf numFmtId="0" fontId="11" fillId="6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76" fontId="28" fillId="4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25" fillId="0" borderId="7" xfId="0" applyFont="1" applyBorder="1" applyAlignment="1" applyProtection="1">
      <alignment horizontal="center" vertical="center" wrapText="1"/>
      <protection locked="0"/>
    </xf>
    <xf numFmtId="0" fontId="25" fillId="0" borderId="8" xfId="0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5" fillId="2" borderId="8" xfId="0" applyFont="1" applyFill="1" applyBorder="1" applyAlignment="1" applyProtection="1">
      <alignment horizontal="center" vertical="center"/>
    </xf>
    <xf numFmtId="0" fontId="25" fillId="2" borderId="8" xfId="0" applyFont="1" applyFill="1" applyBorder="1" applyAlignment="1" applyProtection="1">
      <alignment horizontal="center" vertical="center"/>
      <protection locked="0"/>
    </xf>
    <xf numFmtId="177" fontId="25" fillId="2" borderId="8" xfId="0" applyNumberFormat="1" applyFont="1" applyFill="1" applyBorder="1" applyAlignment="1" applyProtection="1">
      <alignment horizontal="center" vertical="center"/>
    </xf>
    <xf numFmtId="0" fontId="28" fillId="2" borderId="1" xfId="0" applyFont="1" applyFill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shrinkToFit="1"/>
    </xf>
    <xf numFmtId="0" fontId="10" fillId="3" borderId="5" xfId="0" applyFont="1" applyFill="1" applyBorder="1" applyAlignment="1">
      <alignment horizontal="center" vertical="center" shrinkToFit="1"/>
    </xf>
    <xf numFmtId="0" fontId="11" fillId="3" borderId="3" xfId="0" applyFont="1" applyFill="1" applyBorder="1" applyAlignment="1">
      <alignment horizontal="center" vertical="center" shrinkToFit="1"/>
    </xf>
    <xf numFmtId="0" fontId="18" fillId="3" borderId="3" xfId="0" applyFont="1" applyFill="1" applyBorder="1" applyAlignment="1">
      <alignment horizontal="center" vertical="center" wrapText="1" shrinkToFit="1"/>
    </xf>
    <xf numFmtId="0" fontId="18" fillId="3" borderId="1" xfId="0" applyFont="1" applyFill="1" applyBorder="1" applyAlignment="1">
      <alignment horizontal="center" vertical="center" wrapText="1" shrinkToFit="1"/>
    </xf>
    <xf numFmtId="0" fontId="11" fillId="3" borderId="1" xfId="0" applyFont="1" applyFill="1" applyBorder="1" applyAlignment="1">
      <alignment horizontal="center" vertical="center" wrapText="1" shrinkToFit="1"/>
    </xf>
    <xf numFmtId="0" fontId="11" fillId="3" borderId="3" xfId="0" applyFont="1" applyFill="1" applyBorder="1" applyAlignment="1">
      <alignment horizontal="center" vertical="center" wrapText="1" shrinkToFit="1"/>
    </xf>
    <xf numFmtId="0" fontId="11" fillId="3" borderId="4" xfId="0" applyFont="1" applyFill="1" applyBorder="1" applyAlignment="1">
      <alignment horizontal="center" vertical="center" wrapText="1" shrinkToFit="1"/>
    </xf>
    <xf numFmtId="0" fontId="11" fillId="3" borderId="6" xfId="0" applyFont="1" applyFill="1" applyBorder="1" applyAlignment="1">
      <alignment horizontal="center" vertical="center" wrapText="1" shrinkToFit="1"/>
    </xf>
    <xf numFmtId="0" fontId="11" fillId="3" borderId="11" xfId="0" applyFont="1" applyFill="1" applyBorder="1" applyAlignment="1">
      <alignment horizontal="center" vertical="center" wrapText="1" shrinkToFit="1"/>
    </xf>
    <xf numFmtId="0" fontId="11" fillId="3" borderId="12" xfId="0" applyFont="1" applyFill="1" applyBorder="1" applyAlignment="1">
      <alignment horizontal="center" vertical="center" wrapText="1" shrinkToFit="1"/>
    </xf>
    <xf numFmtId="0" fontId="11" fillId="3" borderId="13" xfId="0" applyFont="1" applyFill="1" applyBorder="1" applyAlignment="1">
      <alignment horizontal="center" vertical="center" wrapText="1" shrinkToFit="1"/>
    </xf>
    <xf numFmtId="0" fontId="11" fillId="3" borderId="14" xfId="0" applyFont="1" applyFill="1" applyBorder="1" applyAlignment="1">
      <alignment horizontal="center" vertical="center" shrinkToFit="1"/>
    </xf>
    <xf numFmtId="0" fontId="11" fillId="3" borderId="15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 applyAlignment="1">
      <alignment horizontal="center" vertical="center" shrinkToFit="1"/>
    </xf>
    <xf numFmtId="0" fontId="11" fillId="3" borderId="17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selection activeCell="A16" sqref="A16:D16"/>
    </sheetView>
  </sheetViews>
  <sheetFormatPr defaultRowHeight="16.5" x14ac:dyDescent="0.3"/>
  <cols>
    <col min="1" max="1" width="20.625" customWidth="1"/>
    <col min="2" max="4" width="24.625" customWidth="1"/>
  </cols>
  <sheetData>
    <row r="1" spans="1:4" ht="26.25" x14ac:dyDescent="0.3">
      <c r="A1" s="77" t="s">
        <v>13</v>
      </c>
      <c r="B1" s="77"/>
      <c r="C1" s="77"/>
      <c r="D1" s="77"/>
    </row>
    <row r="2" spans="1:4" ht="36.75" customHeight="1" x14ac:dyDescent="0.3">
      <c r="A2" s="8" t="s">
        <v>14</v>
      </c>
      <c r="B2" s="3" t="s">
        <v>15</v>
      </c>
      <c r="C2" s="8" t="s">
        <v>16</v>
      </c>
      <c r="D2" s="3" t="s">
        <v>5</v>
      </c>
    </row>
    <row r="3" spans="1:4" s="31" customFormat="1" ht="20.25" customHeight="1" x14ac:dyDescent="0.3">
      <c r="A3" s="29">
        <v>1</v>
      </c>
      <c r="B3" s="61">
        <v>1</v>
      </c>
      <c r="C3" s="6">
        <v>1</v>
      </c>
      <c r="D3" s="30"/>
    </row>
    <row r="4" spans="1:4" s="31" customFormat="1" ht="20.25" customHeight="1" x14ac:dyDescent="0.3">
      <c r="A4" s="29">
        <v>2</v>
      </c>
      <c r="B4" s="61">
        <v>1</v>
      </c>
      <c r="C4" s="6">
        <v>1</v>
      </c>
      <c r="D4" s="30"/>
    </row>
    <row r="5" spans="1:4" s="31" customFormat="1" ht="20.25" customHeight="1" x14ac:dyDescent="0.3">
      <c r="A5" s="29">
        <v>3</v>
      </c>
      <c r="B5" s="61">
        <v>2</v>
      </c>
      <c r="C5" s="6">
        <v>1</v>
      </c>
      <c r="D5" s="7">
        <v>1</v>
      </c>
    </row>
    <row r="6" spans="1:4" ht="17.25" x14ac:dyDescent="0.3">
      <c r="A6" s="4">
        <v>4</v>
      </c>
      <c r="B6" s="5">
        <v>2</v>
      </c>
      <c r="C6" s="6">
        <v>1</v>
      </c>
      <c r="D6" s="7">
        <v>1</v>
      </c>
    </row>
    <row r="7" spans="1:4" ht="17.25" x14ac:dyDescent="0.3">
      <c r="A7" s="4">
        <v>5</v>
      </c>
      <c r="B7" s="5">
        <v>2</v>
      </c>
      <c r="C7" s="6">
        <v>1</v>
      </c>
      <c r="D7" s="7">
        <v>1</v>
      </c>
    </row>
    <row r="8" spans="1:4" ht="17.25" x14ac:dyDescent="0.3">
      <c r="A8" s="4">
        <v>6</v>
      </c>
      <c r="B8" s="5">
        <v>3</v>
      </c>
      <c r="C8" s="6">
        <v>2</v>
      </c>
      <c r="D8" s="7">
        <v>1</v>
      </c>
    </row>
    <row r="9" spans="1:4" ht="17.25" x14ac:dyDescent="0.3">
      <c r="A9" s="4">
        <v>7</v>
      </c>
      <c r="B9" s="5">
        <v>3</v>
      </c>
      <c r="C9" s="6">
        <v>2</v>
      </c>
      <c r="D9" s="7">
        <v>1</v>
      </c>
    </row>
    <row r="10" spans="1:4" ht="17.25" x14ac:dyDescent="0.3">
      <c r="A10" s="4">
        <v>8</v>
      </c>
      <c r="B10" s="5">
        <v>4</v>
      </c>
      <c r="C10" s="6">
        <v>3</v>
      </c>
      <c r="D10" s="7">
        <v>1</v>
      </c>
    </row>
    <row r="11" spans="1:4" ht="17.25" x14ac:dyDescent="0.3">
      <c r="A11" s="4">
        <v>9</v>
      </c>
      <c r="B11" s="5">
        <v>4</v>
      </c>
      <c r="C11" s="6">
        <v>3</v>
      </c>
      <c r="D11" s="7">
        <v>1</v>
      </c>
    </row>
    <row r="12" spans="1:4" ht="17.25" x14ac:dyDescent="0.3">
      <c r="A12" s="4">
        <v>10</v>
      </c>
      <c r="B12" s="5">
        <v>4</v>
      </c>
      <c r="C12" s="6">
        <v>3</v>
      </c>
      <c r="D12" s="7">
        <v>1</v>
      </c>
    </row>
    <row r="13" spans="1:4" ht="17.25" x14ac:dyDescent="0.3">
      <c r="A13" s="4">
        <v>11</v>
      </c>
      <c r="B13" s="5">
        <v>5</v>
      </c>
      <c r="C13" s="6">
        <v>4</v>
      </c>
      <c r="D13" s="7">
        <f>B13-C13</f>
        <v>1</v>
      </c>
    </row>
    <row r="14" spans="1:4" ht="17.25" x14ac:dyDescent="0.3">
      <c r="A14" s="4">
        <v>12</v>
      </c>
      <c r="B14" s="5">
        <v>5</v>
      </c>
      <c r="C14" s="6">
        <v>4</v>
      </c>
      <c r="D14" s="7">
        <f t="shared" ref="D14:D77" si="0">B14-C14</f>
        <v>1</v>
      </c>
    </row>
    <row r="15" spans="1:4" ht="17.25" x14ac:dyDescent="0.3">
      <c r="A15" s="4">
        <v>13</v>
      </c>
      <c r="B15" s="5">
        <v>6</v>
      </c>
      <c r="C15" s="6">
        <v>5</v>
      </c>
      <c r="D15" s="7">
        <f t="shared" si="0"/>
        <v>1</v>
      </c>
    </row>
    <row r="16" spans="1:4" ht="17.25" x14ac:dyDescent="0.3">
      <c r="A16" s="4">
        <v>14</v>
      </c>
      <c r="B16" s="5">
        <v>6</v>
      </c>
      <c r="C16" s="6">
        <v>5</v>
      </c>
      <c r="D16" s="7">
        <f t="shared" si="0"/>
        <v>1</v>
      </c>
    </row>
    <row r="17" spans="1:4" ht="17.25" x14ac:dyDescent="0.3">
      <c r="A17" s="4">
        <v>15</v>
      </c>
      <c r="B17" s="5">
        <v>6</v>
      </c>
      <c r="C17" s="6">
        <v>5</v>
      </c>
      <c r="D17" s="7">
        <f t="shared" si="0"/>
        <v>1</v>
      </c>
    </row>
    <row r="18" spans="1:4" ht="17.25" x14ac:dyDescent="0.3">
      <c r="A18" s="4">
        <v>16</v>
      </c>
      <c r="B18" s="5">
        <v>7</v>
      </c>
      <c r="C18" s="6">
        <v>6</v>
      </c>
      <c r="D18" s="7">
        <f t="shared" si="0"/>
        <v>1</v>
      </c>
    </row>
    <row r="19" spans="1:4" ht="17.25" x14ac:dyDescent="0.3">
      <c r="A19" s="4">
        <v>17</v>
      </c>
      <c r="B19" s="5">
        <v>7</v>
      </c>
      <c r="C19" s="6">
        <v>6</v>
      </c>
      <c r="D19" s="7">
        <f t="shared" si="0"/>
        <v>1</v>
      </c>
    </row>
    <row r="20" spans="1:4" ht="17.25" x14ac:dyDescent="0.3">
      <c r="A20" s="4">
        <v>18</v>
      </c>
      <c r="B20" s="5">
        <v>8</v>
      </c>
      <c r="C20" s="6">
        <v>7</v>
      </c>
      <c r="D20" s="7">
        <f t="shared" si="0"/>
        <v>1</v>
      </c>
    </row>
    <row r="21" spans="1:4" ht="17.25" x14ac:dyDescent="0.3">
      <c r="A21" s="4">
        <v>19</v>
      </c>
      <c r="B21" s="5">
        <v>8</v>
      </c>
      <c r="C21" s="6">
        <v>7</v>
      </c>
      <c r="D21" s="7">
        <f t="shared" si="0"/>
        <v>1</v>
      </c>
    </row>
    <row r="22" spans="1:4" ht="17.25" x14ac:dyDescent="0.3">
      <c r="A22" s="4">
        <v>20</v>
      </c>
      <c r="B22" s="5">
        <v>8</v>
      </c>
      <c r="C22" s="6">
        <v>7</v>
      </c>
      <c r="D22" s="7">
        <f t="shared" si="0"/>
        <v>1</v>
      </c>
    </row>
    <row r="23" spans="1:4" ht="17.25" x14ac:dyDescent="0.3">
      <c r="A23" s="4">
        <v>21</v>
      </c>
      <c r="B23" s="5">
        <v>9</v>
      </c>
      <c r="C23" s="6">
        <v>8</v>
      </c>
      <c r="D23" s="7">
        <f t="shared" si="0"/>
        <v>1</v>
      </c>
    </row>
    <row r="24" spans="1:4" ht="17.25" x14ac:dyDescent="0.3">
      <c r="A24" s="4">
        <v>22</v>
      </c>
      <c r="B24" s="5">
        <v>9</v>
      </c>
      <c r="C24" s="6">
        <v>8</v>
      </c>
      <c r="D24" s="7">
        <f t="shared" si="0"/>
        <v>1</v>
      </c>
    </row>
    <row r="25" spans="1:4" ht="17.25" x14ac:dyDescent="0.3">
      <c r="A25" s="4">
        <v>23</v>
      </c>
      <c r="B25" s="5">
        <v>10</v>
      </c>
      <c r="C25" s="6">
        <v>8</v>
      </c>
      <c r="D25" s="7">
        <f t="shared" si="0"/>
        <v>2</v>
      </c>
    </row>
    <row r="26" spans="1:4" ht="17.25" x14ac:dyDescent="0.3">
      <c r="A26" s="4">
        <v>24</v>
      </c>
      <c r="B26" s="5">
        <v>10</v>
      </c>
      <c r="C26" s="6">
        <v>8</v>
      </c>
      <c r="D26" s="7">
        <f t="shared" si="0"/>
        <v>2</v>
      </c>
    </row>
    <row r="27" spans="1:4" ht="17.25" x14ac:dyDescent="0.3">
      <c r="A27" s="4">
        <v>25</v>
      </c>
      <c r="B27" s="5">
        <v>10</v>
      </c>
      <c r="C27" s="6">
        <v>8</v>
      </c>
      <c r="D27" s="7">
        <f t="shared" si="0"/>
        <v>2</v>
      </c>
    </row>
    <row r="28" spans="1:4" ht="17.25" x14ac:dyDescent="0.3">
      <c r="A28" s="4">
        <v>26</v>
      </c>
      <c r="B28" s="5">
        <v>11</v>
      </c>
      <c r="C28" s="6">
        <v>9</v>
      </c>
      <c r="D28" s="7">
        <f t="shared" si="0"/>
        <v>2</v>
      </c>
    </row>
    <row r="29" spans="1:4" ht="17.25" x14ac:dyDescent="0.3">
      <c r="A29" s="4">
        <v>27</v>
      </c>
      <c r="B29" s="5">
        <v>11</v>
      </c>
      <c r="C29" s="6">
        <v>9</v>
      </c>
      <c r="D29" s="7">
        <f t="shared" si="0"/>
        <v>2</v>
      </c>
    </row>
    <row r="30" spans="1:4" ht="17.25" x14ac:dyDescent="0.3">
      <c r="A30" s="4">
        <v>28</v>
      </c>
      <c r="B30" s="5">
        <v>12</v>
      </c>
      <c r="C30" s="6">
        <v>10</v>
      </c>
      <c r="D30" s="7">
        <f t="shared" si="0"/>
        <v>2</v>
      </c>
    </row>
    <row r="31" spans="1:4" ht="17.25" x14ac:dyDescent="0.3">
      <c r="A31" s="4">
        <v>29</v>
      </c>
      <c r="B31" s="5">
        <v>12</v>
      </c>
      <c r="C31" s="6">
        <v>10</v>
      </c>
      <c r="D31" s="7">
        <f t="shared" si="0"/>
        <v>2</v>
      </c>
    </row>
    <row r="32" spans="1:4" ht="17.25" x14ac:dyDescent="0.3">
      <c r="A32" s="4">
        <v>30</v>
      </c>
      <c r="B32" s="5">
        <v>12</v>
      </c>
      <c r="C32" s="6">
        <v>10</v>
      </c>
      <c r="D32" s="7">
        <f t="shared" si="0"/>
        <v>2</v>
      </c>
    </row>
    <row r="33" spans="1:4" ht="17.25" x14ac:dyDescent="0.3">
      <c r="A33" s="4">
        <v>31</v>
      </c>
      <c r="B33" s="5">
        <v>13</v>
      </c>
      <c r="C33" s="6">
        <v>11</v>
      </c>
      <c r="D33" s="7">
        <f t="shared" si="0"/>
        <v>2</v>
      </c>
    </row>
    <row r="34" spans="1:4" ht="17.25" x14ac:dyDescent="0.3">
      <c r="A34" s="4">
        <v>32</v>
      </c>
      <c r="B34" s="5">
        <v>13</v>
      </c>
      <c r="C34" s="6">
        <v>11</v>
      </c>
      <c r="D34" s="7">
        <f t="shared" si="0"/>
        <v>2</v>
      </c>
    </row>
    <row r="35" spans="1:4" ht="17.25" x14ac:dyDescent="0.3">
      <c r="A35" s="4">
        <v>33</v>
      </c>
      <c r="B35" s="5">
        <v>14</v>
      </c>
      <c r="C35" s="6">
        <v>12</v>
      </c>
      <c r="D35" s="7">
        <f t="shared" si="0"/>
        <v>2</v>
      </c>
    </row>
    <row r="36" spans="1:4" ht="17.25" x14ac:dyDescent="0.3">
      <c r="A36" s="4">
        <v>34</v>
      </c>
      <c r="B36" s="5">
        <v>14</v>
      </c>
      <c r="C36" s="6">
        <v>12</v>
      </c>
      <c r="D36" s="7">
        <f t="shared" si="0"/>
        <v>2</v>
      </c>
    </row>
    <row r="37" spans="1:4" ht="17.25" x14ac:dyDescent="0.3">
      <c r="A37" s="4">
        <v>35</v>
      </c>
      <c r="B37" s="5">
        <v>14</v>
      </c>
      <c r="C37" s="6">
        <v>12</v>
      </c>
      <c r="D37" s="7">
        <f t="shared" si="0"/>
        <v>2</v>
      </c>
    </row>
    <row r="38" spans="1:4" ht="17.25" x14ac:dyDescent="0.3">
      <c r="A38" s="4">
        <v>36</v>
      </c>
      <c r="B38" s="5">
        <v>15</v>
      </c>
      <c r="C38" s="6">
        <v>12</v>
      </c>
      <c r="D38" s="7">
        <f t="shared" si="0"/>
        <v>3</v>
      </c>
    </row>
    <row r="39" spans="1:4" ht="17.25" x14ac:dyDescent="0.3">
      <c r="A39" s="4">
        <v>37</v>
      </c>
      <c r="B39" s="5">
        <v>15</v>
      </c>
      <c r="C39" s="6">
        <v>12</v>
      </c>
      <c r="D39" s="7">
        <f t="shared" si="0"/>
        <v>3</v>
      </c>
    </row>
    <row r="40" spans="1:4" ht="17.25" x14ac:dyDescent="0.3">
      <c r="A40" s="4">
        <v>38</v>
      </c>
      <c r="B40" s="5">
        <v>16</v>
      </c>
      <c r="C40" s="6">
        <v>13</v>
      </c>
      <c r="D40" s="7">
        <f t="shared" si="0"/>
        <v>3</v>
      </c>
    </row>
    <row r="41" spans="1:4" ht="17.25" x14ac:dyDescent="0.3">
      <c r="A41" s="4">
        <v>39</v>
      </c>
      <c r="B41" s="5">
        <v>16</v>
      </c>
      <c r="C41" s="6">
        <v>13</v>
      </c>
      <c r="D41" s="7">
        <f t="shared" si="0"/>
        <v>3</v>
      </c>
    </row>
    <row r="42" spans="1:4" ht="17.25" x14ac:dyDescent="0.3">
      <c r="A42" s="4">
        <v>40</v>
      </c>
      <c r="B42" s="5">
        <v>16</v>
      </c>
      <c r="C42" s="6">
        <v>13</v>
      </c>
      <c r="D42" s="7">
        <f t="shared" si="0"/>
        <v>3</v>
      </c>
    </row>
    <row r="43" spans="1:4" ht="17.25" x14ac:dyDescent="0.3">
      <c r="A43" s="4">
        <v>41</v>
      </c>
      <c r="B43" s="5">
        <v>17</v>
      </c>
      <c r="C43" s="6">
        <v>14</v>
      </c>
      <c r="D43" s="7">
        <f t="shared" si="0"/>
        <v>3</v>
      </c>
    </row>
    <row r="44" spans="1:4" ht="17.25" x14ac:dyDescent="0.3">
      <c r="A44" s="4">
        <v>42</v>
      </c>
      <c r="B44" s="5">
        <v>17</v>
      </c>
      <c r="C44" s="6">
        <v>14</v>
      </c>
      <c r="D44" s="7">
        <f t="shared" si="0"/>
        <v>3</v>
      </c>
    </row>
    <row r="45" spans="1:4" ht="17.25" x14ac:dyDescent="0.3">
      <c r="A45" s="4">
        <v>43</v>
      </c>
      <c r="B45" s="5">
        <v>18</v>
      </c>
      <c r="C45" s="6">
        <v>15</v>
      </c>
      <c r="D45" s="7">
        <f t="shared" si="0"/>
        <v>3</v>
      </c>
    </row>
    <row r="46" spans="1:4" ht="17.25" x14ac:dyDescent="0.3">
      <c r="A46" s="4">
        <v>44</v>
      </c>
      <c r="B46" s="5">
        <v>18</v>
      </c>
      <c r="C46" s="6">
        <v>15</v>
      </c>
      <c r="D46" s="7">
        <f t="shared" si="0"/>
        <v>3</v>
      </c>
    </row>
    <row r="47" spans="1:4" ht="17.25" x14ac:dyDescent="0.3">
      <c r="A47" s="4">
        <v>45</v>
      </c>
      <c r="B47" s="5">
        <v>18</v>
      </c>
      <c r="C47" s="6">
        <v>15</v>
      </c>
      <c r="D47" s="7">
        <f t="shared" si="0"/>
        <v>3</v>
      </c>
    </row>
    <row r="48" spans="1:4" ht="17.25" x14ac:dyDescent="0.3">
      <c r="A48" s="4">
        <v>46</v>
      </c>
      <c r="B48" s="5">
        <v>19</v>
      </c>
      <c r="C48" s="6">
        <v>16</v>
      </c>
      <c r="D48" s="7">
        <f t="shared" si="0"/>
        <v>3</v>
      </c>
    </row>
    <row r="49" spans="1:4" ht="17.25" x14ac:dyDescent="0.3">
      <c r="A49" s="4">
        <v>47</v>
      </c>
      <c r="B49" s="5">
        <v>19</v>
      </c>
      <c r="C49" s="6">
        <v>16</v>
      </c>
      <c r="D49" s="7">
        <f t="shared" si="0"/>
        <v>3</v>
      </c>
    </row>
    <row r="50" spans="1:4" ht="17.25" x14ac:dyDescent="0.3">
      <c r="A50" s="4">
        <v>48</v>
      </c>
      <c r="B50" s="5">
        <v>20</v>
      </c>
      <c r="C50" s="6">
        <v>16</v>
      </c>
      <c r="D50" s="7">
        <f t="shared" si="0"/>
        <v>4</v>
      </c>
    </row>
    <row r="51" spans="1:4" ht="17.25" x14ac:dyDescent="0.3">
      <c r="A51" s="4">
        <v>49</v>
      </c>
      <c r="B51" s="5">
        <v>20</v>
      </c>
      <c r="C51" s="6">
        <v>16</v>
      </c>
      <c r="D51" s="7">
        <f t="shared" si="0"/>
        <v>4</v>
      </c>
    </row>
    <row r="52" spans="1:4" ht="17.25" x14ac:dyDescent="0.3">
      <c r="A52" s="4">
        <v>50</v>
      </c>
      <c r="B52" s="5">
        <v>20</v>
      </c>
      <c r="C52" s="6">
        <v>16</v>
      </c>
      <c r="D52" s="7">
        <f t="shared" si="0"/>
        <v>4</v>
      </c>
    </row>
    <row r="53" spans="1:4" ht="17.25" x14ac:dyDescent="0.3">
      <c r="A53" s="4">
        <v>51</v>
      </c>
      <c r="B53" s="5">
        <v>21</v>
      </c>
      <c r="C53" s="6">
        <v>17</v>
      </c>
      <c r="D53" s="7">
        <f t="shared" si="0"/>
        <v>4</v>
      </c>
    </row>
    <row r="54" spans="1:4" ht="17.25" x14ac:dyDescent="0.3">
      <c r="A54" s="4">
        <v>52</v>
      </c>
      <c r="B54" s="5">
        <v>21</v>
      </c>
      <c r="C54" s="6">
        <v>17</v>
      </c>
      <c r="D54" s="7">
        <f t="shared" si="0"/>
        <v>4</v>
      </c>
    </row>
    <row r="55" spans="1:4" ht="17.25" x14ac:dyDescent="0.3">
      <c r="A55" s="4">
        <v>53</v>
      </c>
      <c r="B55" s="5">
        <v>22</v>
      </c>
      <c r="C55" s="6">
        <v>18</v>
      </c>
      <c r="D55" s="7">
        <f t="shared" si="0"/>
        <v>4</v>
      </c>
    </row>
    <row r="56" spans="1:4" ht="17.25" x14ac:dyDescent="0.3">
      <c r="A56" s="4">
        <v>54</v>
      </c>
      <c r="B56" s="5">
        <v>22</v>
      </c>
      <c r="C56" s="6">
        <v>18</v>
      </c>
      <c r="D56" s="7">
        <f t="shared" si="0"/>
        <v>4</v>
      </c>
    </row>
    <row r="57" spans="1:4" ht="17.25" x14ac:dyDescent="0.3">
      <c r="A57" s="4">
        <v>55</v>
      </c>
      <c r="B57" s="5">
        <v>22</v>
      </c>
      <c r="C57" s="6">
        <v>18</v>
      </c>
      <c r="D57" s="7">
        <f t="shared" si="0"/>
        <v>4</v>
      </c>
    </row>
    <row r="58" spans="1:4" ht="17.25" x14ac:dyDescent="0.3">
      <c r="A58" s="4">
        <v>56</v>
      </c>
      <c r="B58" s="5">
        <v>23</v>
      </c>
      <c r="C58" s="6">
        <v>19</v>
      </c>
      <c r="D58" s="7">
        <f t="shared" si="0"/>
        <v>4</v>
      </c>
    </row>
    <row r="59" spans="1:4" ht="17.25" x14ac:dyDescent="0.3">
      <c r="A59" s="4">
        <v>57</v>
      </c>
      <c r="B59" s="5">
        <v>23</v>
      </c>
      <c r="C59" s="6">
        <v>19</v>
      </c>
      <c r="D59" s="7">
        <f t="shared" si="0"/>
        <v>4</v>
      </c>
    </row>
    <row r="60" spans="1:4" ht="17.25" x14ac:dyDescent="0.3">
      <c r="A60" s="4">
        <v>58</v>
      </c>
      <c r="B60" s="5">
        <v>24</v>
      </c>
      <c r="C60" s="6">
        <v>20</v>
      </c>
      <c r="D60" s="7">
        <f t="shared" si="0"/>
        <v>4</v>
      </c>
    </row>
    <row r="61" spans="1:4" ht="17.25" x14ac:dyDescent="0.3">
      <c r="A61" s="4">
        <v>59</v>
      </c>
      <c r="B61" s="5">
        <v>24</v>
      </c>
      <c r="C61" s="6">
        <v>20</v>
      </c>
      <c r="D61" s="7">
        <f t="shared" si="0"/>
        <v>4</v>
      </c>
    </row>
    <row r="62" spans="1:4" ht="17.25" x14ac:dyDescent="0.3">
      <c r="A62" s="4">
        <v>60</v>
      </c>
      <c r="B62" s="5">
        <v>24</v>
      </c>
      <c r="C62" s="6">
        <v>20</v>
      </c>
      <c r="D62" s="7">
        <f t="shared" si="0"/>
        <v>4</v>
      </c>
    </row>
    <row r="63" spans="1:4" ht="17.25" x14ac:dyDescent="0.3">
      <c r="A63" s="4">
        <v>61</v>
      </c>
      <c r="B63" s="5">
        <v>25</v>
      </c>
      <c r="C63" s="6">
        <v>20</v>
      </c>
      <c r="D63" s="7">
        <f t="shared" si="0"/>
        <v>5</v>
      </c>
    </row>
    <row r="64" spans="1:4" ht="17.25" x14ac:dyDescent="0.3">
      <c r="A64" s="4">
        <v>62</v>
      </c>
      <c r="B64" s="5">
        <v>25</v>
      </c>
      <c r="C64" s="6">
        <v>20</v>
      </c>
      <c r="D64" s="7">
        <f t="shared" si="0"/>
        <v>5</v>
      </c>
    </row>
    <row r="65" spans="1:4" ht="17.25" x14ac:dyDescent="0.3">
      <c r="A65" s="4">
        <v>63</v>
      </c>
      <c r="B65" s="5">
        <v>26</v>
      </c>
      <c r="C65" s="6">
        <v>21</v>
      </c>
      <c r="D65" s="7">
        <f t="shared" si="0"/>
        <v>5</v>
      </c>
    </row>
    <row r="66" spans="1:4" ht="17.25" x14ac:dyDescent="0.3">
      <c r="A66" s="4">
        <v>64</v>
      </c>
      <c r="B66" s="5">
        <v>26</v>
      </c>
      <c r="C66" s="6">
        <v>21</v>
      </c>
      <c r="D66" s="7">
        <f t="shared" si="0"/>
        <v>5</v>
      </c>
    </row>
    <row r="67" spans="1:4" ht="17.25" x14ac:dyDescent="0.3">
      <c r="A67" s="4">
        <v>65</v>
      </c>
      <c r="B67" s="5">
        <v>26</v>
      </c>
      <c r="C67" s="6">
        <v>21</v>
      </c>
      <c r="D67" s="7">
        <f t="shared" si="0"/>
        <v>5</v>
      </c>
    </row>
    <row r="68" spans="1:4" ht="17.25" x14ac:dyDescent="0.3">
      <c r="A68" s="4">
        <v>66</v>
      </c>
      <c r="B68" s="5">
        <v>27</v>
      </c>
      <c r="C68" s="6">
        <v>22</v>
      </c>
      <c r="D68" s="7">
        <f t="shared" si="0"/>
        <v>5</v>
      </c>
    </row>
    <row r="69" spans="1:4" ht="17.25" x14ac:dyDescent="0.3">
      <c r="A69" s="4">
        <v>67</v>
      </c>
      <c r="B69" s="5">
        <v>27</v>
      </c>
      <c r="C69" s="6">
        <v>22</v>
      </c>
      <c r="D69" s="7">
        <f t="shared" si="0"/>
        <v>5</v>
      </c>
    </row>
    <row r="70" spans="1:4" ht="17.25" x14ac:dyDescent="0.3">
      <c r="A70" s="4">
        <v>68</v>
      </c>
      <c r="B70" s="5">
        <v>28</v>
      </c>
      <c r="C70" s="6">
        <v>23</v>
      </c>
      <c r="D70" s="7">
        <f t="shared" si="0"/>
        <v>5</v>
      </c>
    </row>
    <row r="71" spans="1:4" ht="17.25" x14ac:dyDescent="0.3">
      <c r="A71" s="4">
        <v>69</v>
      </c>
      <c r="B71" s="5">
        <v>28</v>
      </c>
      <c r="C71" s="6">
        <v>23</v>
      </c>
      <c r="D71" s="7">
        <f t="shared" si="0"/>
        <v>5</v>
      </c>
    </row>
    <row r="72" spans="1:4" ht="17.25" x14ac:dyDescent="0.3">
      <c r="A72" s="4">
        <v>70</v>
      </c>
      <c r="B72" s="5">
        <v>28</v>
      </c>
      <c r="C72" s="6">
        <v>23</v>
      </c>
      <c r="D72" s="7">
        <f t="shared" si="0"/>
        <v>5</v>
      </c>
    </row>
    <row r="73" spans="1:4" ht="17.25" x14ac:dyDescent="0.3">
      <c r="A73" s="4">
        <v>71</v>
      </c>
      <c r="B73" s="5">
        <v>29</v>
      </c>
      <c r="C73" s="6">
        <v>24</v>
      </c>
      <c r="D73" s="7">
        <f t="shared" si="0"/>
        <v>5</v>
      </c>
    </row>
    <row r="74" spans="1:4" ht="17.25" x14ac:dyDescent="0.3">
      <c r="A74" s="4">
        <v>72</v>
      </c>
      <c r="B74" s="5">
        <v>29</v>
      </c>
      <c r="C74" s="6">
        <v>24</v>
      </c>
      <c r="D74" s="7">
        <f t="shared" si="0"/>
        <v>5</v>
      </c>
    </row>
    <row r="75" spans="1:4" ht="17.25" x14ac:dyDescent="0.3">
      <c r="A75" s="4">
        <v>73</v>
      </c>
      <c r="B75" s="5">
        <v>30</v>
      </c>
      <c r="C75" s="6">
        <v>24</v>
      </c>
      <c r="D75" s="7">
        <f t="shared" si="0"/>
        <v>6</v>
      </c>
    </row>
    <row r="76" spans="1:4" ht="17.25" x14ac:dyDescent="0.3">
      <c r="A76" s="4">
        <v>74</v>
      </c>
      <c r="B76" s="5">
        <v>30</v>
      </c>
      <c r="C76" s="6">
        <v>24</v>
      </c>
      <c r="D76" s="7">
        <f t="shared" si="0"/>
        <v>6</v>
      </c>
    </row>
    <row r="77" spans="1:4" ht="17.25" x14ac:dyDescent="0.3">
      <c r="A77" s="4">
        <v>75</v>
      </c>
      <c r="B77" s="5">
        <v>30</v>
      </c>
      <c r="C77" s="6">
        <v>24</v>
      </c>
      <c r="D77" s="7">
        <f t="shared" si="0"/>
        <v>6</v>
      </c>
    </row>
    <row r="78" spans="1:4" ht="17.25" x14ac:dyDescent="0.3">
      <c r="A78" s="4">
        <v>76</v>
      </c>
      <c r="B78" s="5">
        <v>31</v>
      </c>
      <c r="C78" s="6">
        <v>25</v>
      </c>
      <c r="D78" s="7">
        <f t="shared" ref="D78:D103" si="1">B78-C78</f>
        <v>6</v>
      </c>
    </row>
    <row r="79" spans="1:4" ht="17.25" x14ac:dyDescent="0.3">
      <c r="A79" s="4">
        <v>77</v>
      </c>
      <c r="B79" s="5">
        <v>31</v>
      </c>
      <c r="C79" s="6">
        <v>25</v>
      </c>
      <c r="D79" s="7">
        <f t="shared" si="1"/>
        <v>6</v>
      </c>
    </row>
    <row r="80" spans="1:4" ht="17.25" x14ac:dyDescent="0.3">
      <c r="A80" s="4">
        <v>78</v>
      </c>
      <c r="B80" s="5">
        <v>32</v>
      </c>
      <c r="C80" s="6">
        <v>26</v>
      </c>
      <c r="D80" s="7">
        <f t="shared" si="1"/>
        <v>6</v>
      </c>
    </row>
    <row r="81" spans="1:4" ht="17.25" x14ac:dyDescent="0.3">
      <c r="A81" s="4">
        <v>79</v>
      </c>
      <c r="B81" s="5">
        <v>32</v>
      </c>
      <c r="C81" s="6">
        <v>26</v>
      </c>
      <c r="D81" s="7">
        <f t="shared" si="1"/>
        <v>6</v>
      </c>
    </row>
    <row r="82" spans="1:4" ht="17.25" x14ac:dyDescent="0.3">
      <c r="A82" s="4">
        <v>80</v>
      </c>
      <c r="B82" s="5">
        <v>32</v>
      </c>
      <c r="C82" s="6">
        <v>26</v>
      </c>
      <c r="D82" s="7">
        <f t="shared" si="1"/>
        <v>6</v>
      </c>
    </row>
    <row r="83" spans="1:4" ht="17.25" x14ac:dyDescent="0.3">
      <c r="A83" s="4">
        <v>81</v>
      </c>
      <c r="B83" s="5">
        <v>33</v>
      </c>
      <c r="C83" s="6">
        <v>27</v>
      </c>
      <c r="D83" s="7">
        <f t="shared" si="1"/>
        <v>6</v>
      </c>
    </row>
    <row r="84" spans="1:4" ht="17.25" x14ac:dyDescent="0.3">
      <c r="A84" s="4">
        <v>82</v>
      </c>
      <c r="B84" s="5">
        <v>33</v>
      </c>
      <c r="C84" s="6">
        <v>27</v>
      </c>
      <c r="D84" s="7">
        <f t="shared" si="1"/>
        <v>6</v>
      </c>
    </row>
    <row r="85" spans="1:4" ht="17.25" x14ac:dyDescent="0.3">
      <c r="A85" s="4">
        <v>83</v>
      </c>
      <c r="B85" s="5">
        <v>34</v>
      </c>
      <c r="C85" s="6">
        <v>28</v>
      </c>
      <c r="D85" s="7">
        <f t="shared" si="1"/>
        <v>6</v>
      </c>
    </row>
    <row r="86" spans="1:4" ht="17.25" x14ac:dyDescent="0.3">
      <c r="A86" s="4">
        <v>84</v>
      </c>
      <c r="B86" s="5">
        <v>34</v>
      </c>
      <c r="C86" s="6">
        <v>28</v>
      </c>
      <c r="D86" s="7">
        <f t="shared" si="1"/>
        <v>6</v>
      </c>
    </row>
    <row r="87" spans="1:4" ht="17.25" x14ac:dyDescent="0.3">
      <c r="A87" s="4">
        <v>85</v>
      </c>
      <c r="B87" s="5">
        <v>34</v>
      </c>
      <c r="C87" s="6">
        <v>28</v>
      </c>
      <c r="D87" s="7">
        <f t="shared" si="1"/>
        <v>6</v>
      </c>
    </row>
    <row r="88" spans="1:4" ht="17.25" x14ac:dyDescent="0.3">
      <c r="A88" s="4">
        <v>86</v>
      </c>
      <c r="B88" s="5">
        <v>35</v>
      </c>
      <c r="C88" s="6">
        <v>28</v>
      </c>
      <c r="D88" s="7">
        <f t="shared" si="1"/>
        <v>7</v>
      </c>
    </row>
    <row r="89" spans="1:4" ht="17.25" x14ac:dyDescent="0.3">
      <c r="A89" s="4">
        <v>87</v>
      </c>
      <c r="B89" s="5">
        <v>35</v>
      </c>
      <c r="C89" s="6">
        <v>28</v>
      </c>
      <c r="D89" s="7">
        <f t="shared" si="1"/>
        <v>7</v>
      </c>
    </row>
    <row r="90" spans="1:4" ht="17.25" x14ac:dyDescent="0.3">
      <c r="A90" s="4">
        <v>88</v>
      </c>
      <c r="B90" s="5">
        <v>36</v>
      </c>
      <c r="C90" s="6">
        <v>29</v>
      </c>
      <c r="D90" s="7">
        <f t="shared" si="1"/>
        <v>7</v>
      </c>
    </row>
    <row r="91" spans="1:4" ht="17.25" x14ac:dyDescent="0.3">
      <c r="A91" s="4">
        <v>89</v>
      </c>
      <c r="B91" s="5">
        <v>36</v>
      </c>
      <c r="C91" s="6">
        <v>29</v>
      </c>
      <c r="D91" s="7">
        <f t="shared" si="1"/>
        <v>7</v>
      </c>
    </row>
    <row r="92" spans="1:4" ht="17.25" x14ac:dyDescent="0.3">
      <c r="A92" s="4">
        <v>90</v>
      </c>
      <c r="B92" s="5">
        <v>36</v>
      </c>
      <c r="C92" s="6">
        <v>29</v>
      </c>
      <c r="D92" s="7">
        <f t="shared" si="1"/>
        <v>7</v>
      </c>
    </row>
    <row r="93" spans="1:4" ht="17.25" x14ac:dyDescent="0.3">
      <c r="A93" s="4">
        <v>91</v>
      </c>
      <c r="B93" s="5">
        <v>37</v>
      </c>
      <c r="C93" s="6">
        <v>30</v>
      </c>
      <c r="D93" s="7">
        <f t="shared" si="1"/>
        <v>7</v>
      </c>
    </row>
    <row r="94" spans="1:4" ht="17.25" x14ac:dyDescent="0.3">
      <c r="A94" s="4">
        <v>92</v>
      </c>
      <c r="B94" s="5">
        <v>37</v>
      </c>
      <c r="C94" s="6">
        <v>30</v>
      </c>
      <c r="D94" s="7">
        <f t="shared" si="1"/>
        <v>7</v>
      </c>
    </row>
    <row r="95" spans="1:4" ht="17.25" x14ac:dyDescent="0.3">
      <c r="A95" s="4">
        <v>93</v>
      </c>
      <c r="B95" s="5">
        <v>38</v>
      </c>
      <c r="C95" s="6">
        <v>31</v>
      </c>
      <c r="D95" s="7">
        <f t="shared" si="1"/>
        <v>7</v>
      </c>
    </row>
    <row r="96" spans="1:4" ht="17.25" x14ac:dyDescent="0.3">
      <c r="A96" s="4">
        <v>94</v>
      </c>
      <c r="B96" s="5">
        <v>38</v>
      </c>
      <c r="C96" s="6">
        <v>31</v>
      </c>
      <c r="D96" s="7">
        <f t="shared" si="1"/>
        <v>7</v>
      </c>
    </row>
    <row r="97" spans="1:4" ht="17.25" x14ac:dyDescent="0.3">
      <c r="A97" s="4">
        <v>95</v>
      </c>
      <c r="B97" s="5">
        <v>38</v>
      </c>
      <c r="C97" s="6">
        <v>31</v>
      </c>
      <c r="D97" s="7">
        <f t="shared" si="1"/>
        <v>7</v>
      </c>
    </row>
    <row r="98" spans="1:4" ht="17.25" x14ac:dyDescent="0.3">
      <c r="A98" s="4">
        <v>96</v>
      </c>
      <c r="B98" s="5">
        <v>39</v>
      </c>
      <c r="C98" s="6">
        <v>32</v>
      </c>
      <c r="D98" s="7">
        <f t="shared" si="1"/>
        <v>7</v>
      </c>
    </row>
    <row r="99" spans="1:4" ht="17.25" x14ac:dyDescent="0.3">
      <c r="A99" s="4">
        <v>97</v>
      </c>
      <c r="B99" s="5">
        <v>39</v>
      </c>
      <c r="C99" s="6">
        <v>32</v>
      </c>
      <c r="D99" s="7">
        <f t="shared" si="1"/>
        <v>7</v>
      </c>
    </row>
    <row r="100" spans="1:4" ht="17.25" x14ac:dyDescent="0.3">
      <c r="A100" s="4">
        <v>98</v>
      </c>
      <c r="B100" s="5">
        <v>40</v>
      </c>
      <c r="C100" s="6">
        <v>32</v>
      </c>
      <c r="D100" s="7">
        <f t="shared" si="1"/>
        <v>8</v>
      </c>
    </row>
    <row r="101" spans="1:4" ht="17.25" x14ac:dyDescent="0.3">
      <c r="A101" s="4">
        <v>99</v>
      </c>
      <c r="B101" s="5">
        <v>40</v>
      </c>
      <c r="C101" s="6">
        <v>32</v>
      </c>
      <c r="D101" s="7">
        <f t="shared" si="1"/>
        <v>8</v>
      </c>
    </row>
    <row r="102" spans="1:4" ht="17.25" x14ac:dyDescent="0.3">
      <c r="A102" s="4">
        <v>100</v>
      </c>
      <c r="B102" s="5">
        <v>40</v>
      </c>
      <c r="C102" s="6">
        <v>32</v>
      </c>
      <c r="D102" s="7">
        <f t="shared" si="1"/>
        <v>8</v>
      </c>
    </row>
    <row r="103" spans="1:4" ht="17.25" x14ac:dyDescent="0.3">
      <c r="A103" s="4">
        <v>113</v>
      </c>
      <c r="B103" s="5">
        <v>46</v>
      </c>
      <c r="C103" s="6">
        <v>37</v>
      </c>
      <c r="D103" s="7">
        <f t="shared" si="1"/>
        <v>9</v>
      </c>
    </row>
    <row r="104" spans="1:4" ht="17.25" x14ac:dyDescent="0.3">
      <c r="A104" s="57"/>
      <c r="B104" s="58"/>
      <c r="C104" s="59"/>
      <c r="D104" s="60"/>
    </row>
  </sheetData>
  <mergeCells count="1">
    <mergeCell ref="A1:D1"/>
  </mergeCells>
  <phoneticPr fontId="1" type="noConversion"/>
  <printOptions horizontalCentered="1"/>
  <pageMargins left="0.39370078740157483" right="0.39370078740157483" top="0.55118110236220474" bottom="0.55118110236220474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8"/>
  <sheetViews>
    <sheetView zoomScale="90" zoomScaleNormal="90" workbookViewId="0">
      <selection sqref="A1:AC1"/>
    </sheetView>
  </sheetViews>
  <sheetFormatPr defaultRowHeight="16.5" x14ac:dyDescent="0.3"/>
  <cols>
    <col min="1" max="1" width="6" customWidth="1"/>
    <col min="2" max="2" width="4.375" customWidth="1"/>
    <col min="3" max="3" width="6.625" customWidth="1"/>
    <col min="4" max="4" width="12.875" customWidth="1"/>
    <col min="5" max="5" width="4.125" customWidth="1"/>
    <col min="6" max="6" width="4.375" customWidth="1"/>
    <col min="7" max="7" width="4.5" customWidth="1"/>
    <col min="8" max="8" width="4.75" customWidth="1"/>
    <col min="9" max="9" width="4.625" customWidth="1"/>
    <col min="10" max="10" width="4.75" customWidth="1"/>
    <col min="11" max="12" width="4.625" customWidth="1"/>
    <col min="13" max="13" width="4.75" customWidth="1"/>
    <col min="14" max="14" width="5.625" customWidth="1"/>
    <col min="15" max="15" width="4.375" customWidth="1"/>
    <col min="16" max="16" width="5.875" customWidth="1"/>
    <col min="17" max="17" width="6.625" customWidth="1"/>
    <col min="18" max="18" width="4.625" customWidth="1"/>
    <col min="19" max="19" width="4.875" customWidth="1"/>
    <col min="20" max="20" width="7.375" customWidth="1"/>
    <col min="21" max="21" width="15.625" customWidth="1"/>
    <col min="22" max="22" width="5" customWidth="1"/>
    <col min="23" max="25" width="6.625" customWidth="1"/>
    <col min="26" max="26" width="13.625" customWidth="1"/>
    <col min="27" max="27" width="4.5" customWidth="1"/>
    <col min="28" max="28" width="11.625" customWidth="1"/>
    <col min="29" max="29" width="14" customWidth="1"/>
    <col min="30" max="30" width="12.375" customWidth="1"/>
  </cols>
  <sheetData>
    <row r="1" spans="1:32" s="12" customFormat="1" ht="34.5" thickBot="1" x14ac:dyDescent="0.35">
      <c r="A1" s="78" t="s">
        <v>124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11"/>
    </row>
    <row r="2" spans="1:32" s="13" customFormat="1" ht="18" customHeight="1" x14ac:dyDescent="0.3">
      <c r="A2" s="82" t="s">
        <v>18</v>
      </c>
      <c r="B2" s="84" t="s">
        <v>19</v>
      </c>
      <c r="C2" s="84" t="s">
        <v>20</v>
      </c>
      <c r="D2" s="85" t="s">
        <v>52</v>
      </c>
      <c r="E2" s="84" t="s">
        <v>21</v>
      </c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8" t="s">
        <v>58</v>
      </c>
      <c r="U2" s="84"/>
      <c r="V2" s="84"/>
      <c r="W2" s="91" t="s">
        <v>47</v>
      </c>
      <c r="X2" s="92"/>
      <c r="Y2" s="92"/>
      <c r="Z2" s="92"/>
      <c r="AA2" s="93"/>
      <c r="AB2" s="88" t="s">
        <v>88</v>
      </c>
      <c r="AC2" s="89" t="s">
        <v>36</v>
      </c>
    </row>
    <row r="3" spans="1:32" s="13" customFormat="1" ht="18" customHeight="1" x14ac:dyDescent="0.3">
      <c r="A3" s="83"/>
      <c r="B3" s="79"/>
      <c r="C3" s="79"/>
      <c r="D3" s="86"/>
      <c r="E3" s="79" t="s">
        <v>43</v>
      </c>
      <c r="F3" s="79" t="s">
        <v>44</v>
      </c>
      <c r="G3" s="87" t="s">
        <v>45</v>
      </c>
      <c r="H3" s="79" t="s">
        <v>38</v>
      </c>
      <c r="I3" s="79"/>
      <c r="J3" s="79"/>
      <c r="K3" s="79"/>
      <c r="L3" s="79"/>
      <c r="M3" s="79"/>
      <c r="N3" s="79"/>
      <c r="O3" s="79"/>
      <c r="P3" s="79" t="s">
        <v>39</v>
      </c>
      <c r="Q3" s="79"/>
      <c r="R3" s="79"/>
      <c r="S3" s="79" t="s">
        <v>46</v>
      </c>
      <c r="T3" s="79"/>
      <c r="U3" s="79"/>
      <c r="V3" s="79"/>
      <c r="W3" s="79" t="s">
        <v>61</v>
      </c>
      <c r="X3" s="79"/>
      <c r="Y3" s="79"/>
      <c r="Z3" s="87" t="s">
        <v>59</v>
      </c>
      <c r="AA3" s="94" t="s">
        <v>28</v>
      </c>
      <c r="AB3" s="79"/>
      <c r="AC3" s="90"/>
    </row>
    <row r="4" spans="1:32" s="13" customFormat="1" ht="63.75" customHeight="1" x14ac:dyDescent="0.3">
      <c r="A4" s="83"/>
      <c r="B4" s="79"/>
      <c r="C4" s="79"/>
      <c r="D4" s="86"/>
      <c r="E4" s="79"/>
      <c r="F4" s="79"/>
      <c r="G4" s="87"/>
      <c r="H4" s="33" t="s">
        <v>22</v>
      </c>
      <c r="I4" s="33" t="s">
        <v>23</v>
      </c>
      <c r="J4" s="33" t="s">
        <v>24</v>
      </c>
      <c r="K4" s="33" t="s">
        <v>25</v>
      </c>
      <c r="L4" s="33" t="s">
        <v>26</v>
      </c>
      <c r="M4" s="33" t="s">
        <v>27</v>
      </c>
      <c r="N4" s="33" t="s">
        <v>37</v>
      </c>
      <c r="O4" s="33" t="s">
        <v>28</v>
      </c>
      <c r="P4" s="14" t="s">
        <v>40</v>
      </c>
      <c r="Q4" s="33" t="s">
        <v>41</v>
      </c>
      <c r="R4" s="33" t="s">
        <v>28</v>
      </c>
      <c r="S4" s="79"/>
      <c r="T4" s="34" t="s">
        <v>29</v>
      </c>
      <c r="U4" s="36" t="s">
        <v>64</v>
      </c>
      <c r="V4" s="34" t="s">
        <v>28</v>
      </c>
      <c r="W4" s="34" t="s">
        <v>7</v>
      </c>
      <c r="X4" s="34" t="s">
        <v>6</v>
      </c>
      <c r="Y4" s="34" t="s">
        <v>60</v>
      </c>
      <c r="Z4" s="87"/>
      <c r="AA4" s="95"/>
      <c r="AB4" s="79"/>
      <c r="AC4" s="90"/>
    </row>
    <row r="5" spans="1:32" s="16" customFormat="1" ht="33.75" customHeight="1" thickBot="1" x14ac:dyDescent="0.35">
      <c r="A5" s="68" t="s">
        <v>62</v>
      </c>
      <c r="B5" s="69" t="s">
        <v>48</v>
      </c>
      <c r="C5" s="69" t="s">
        <v>49</v>
      </c>
      <c r="D5" s="70" t="s">
        <v>4</v>
      </c>
      <c r="E5" s="69">
        <v>1</v>
      </c>
      <c r="F5" s="69">
        <v>1</v>
      </c>
      <c r="G5" s="69">
        <v>1</v>
      </c>
      <c r="H5" s="69">
        <v>3</v>
      </c>
      <c r="I5" s="69">
        <v>3</v>
      </c>
      <c r="J5" s="69">
        <v>3</v>
      </c>
      <c r="K5" s="69">
        <v>3</v>
      </c>
      <c r="L5" s="69">
        <v>3</v>
      </c>
      <c r="M5" s="69">
        <v>3</v>
      </c>
      <c r="N5" s="69">
        <v>1</v>
      </c>
      <c r="O5" s="74">
        <f>SUM(H5:N5)</f>
        <v>19</v>
      </c>
      <c r="P5" s="69">
        <v>3</v>
      </c>
      <c r="Q5" s="69">
        <v>2</v>
      </c>
      <c r="R5" s="74">
        <f>SUM(P5:Q5)</f>
        <v>5</v>
      </c>
      <c r="S5" s="74">
        <f>SUM(E5:G5,O5,R5)</f>
        <v>27</v>
      </c>
      <c r="T5" s="74">
        <f>S5</f>
        <v>27</v>
      </c>
      <c r="U5" s="69">
        <v>1</v>
      </c>
      <c r="V5" s="73">
        <f>T5+U5</f>
        <v>28</v>
      </c>
      <c r="W5" s="69">
        <v>8</v>
      </c>
      <c r="X5" s="69">
        <v>3</v>
      </c>
      <c r="Y5" s="75">
        <f>(W5+X5)/AA5*100</f>
        <v>91.666666666666657</v>
      </c>
      <c r="Z5" s="69">
        <v>1</v>
      </c>
      <c r="AA5" s="73">
        <f>W5+X5+Z5</f>
        <v>12</v>
      </c>
      <c r="AB5" s="71" t="s">
        <v>89</v>
      </c>
      <c r="AC5" s="72" t="s">
        <v>54</v>
      </c>
    </row>
    <row r="6" spans="1:32" s="16" customFormat="1" ht="33.75" customHeight="1" thickBot="1" x14ac:dyDescent="0.35">
      <c r="A6" s="68"/>
      <c r="B6" s="69"/>
      <c r="C6" s="69"/>
      <c r="D6" s="70"/>
      <c r="E6" s="69"/>
      <c r="F6" s="69"/>
      <c r="G6" s="69"/>
      <c r="H6" s="69"/>
      <c r="I6" s="69"/>
      <c r="J6" s="69"/>
      <c r="K6" s="69"/>
      <c r="L6" s="69"/>
      <c r="M6" s="69"/>
      <c r="N6" s="69"/>
      <c r="O6" s="74">
        <f>SUM(H6:N6)</f>
        <v>0</v>
      </c>
      <c r="P6" s="69"/>
      <c r="Q6" s="69"/>
      <c r="R6" s="74">
        <f>SUM(P6:Q6)</f>
        <v>0</v>
      </c>
      <c r="S6" s="74">
        <f>SUM(E6:G6,O6,R6)</f>
        <v>0</v>
      </c>
      <c r="T6" s="74">
        <f>S6</f>
        <v>0</v>
      </c>
      <c r="U6" s="69"/>
      <c r="V6" s="73">
        <f>T6+U6</f>
        <v>0</v>
      </c>
      <c r="W6" s="69"/>
      <c r="X6" s="69"/>
      <c r="Y6" s="75" t="e">
        <f>(W6+X6)/AA6*100</f>
        <v>#DIV/0!</v>
      </c>
      <c r="Z6" s="69"/>
      <c r="AA6" s="73">
        <f>W6+X6+Z6</f>
        <v>0</v>
      </c>
      <c r="AB6" s="71" t="s">
        <v>89</v>
      </c>
      <c r="AC6" s="72" t="s">
        <v>54</v>
      </c>
    </row>
    <row r="7" spans="1:32" s="16" customFormat="1" ht="44.25" customHeight="1" x14ac:dyDescent="0.3">
      <c r="A7" s="97" t="s">
        <v>65</v>
      </c>
      <c r="B7" s="97"/>
      <c r="C7" s="97"/>
      <c r="D7" s="97"/>
      <c r="E7" s="97"/>
      <c r="F7" s="97"/>
      <c r="G7" s="97"/>
      <c r="H7" s="97"/>
      <c r="I7" s="97"/>
      <c r="J7" s="97"/>
      <c r="K7" s="38"/>
      <c r="L7" s="38"/>
      <c r="M7" s="38"/>
      <c r="N7" s="38"/>
      <c r="O7" s="39"/>
      <c r="P7" s="38"/>
      <c r="Q7" s="38"/>
      <c r="R7" s="39"/>
      <c r="S7" s="39"/>
      <c r="T7" s="38"/>
      <c r="U7" s="38"/>
      <c r="V7" s="39"/>
      <c r="W7" s="38"/>
      <c r="X7" s="38"/>
      <c r="Y7" s="40"/>
      <c r="Z7" s="38"/>
      <c r="AA7" s="39"/>
      <c r="AB7" s="38"/>
      <c r="AC7" s="37"/>
    </row>
    <row r="8" spans="1:32" s="24" customFormat="1" ht="22.5" customHeight="1" x14ac:dyDescent="0.3">
      <c r="A8" s="80" t="s">
        <v>90</v>
      </c>
      <c r="B8" s="80"/>
      <c r="C8" s="80"/>
      <c r="D8" s="80"/>
      <c r="E8" s="41"/>
      <c r="F8" s="41"/>
      <c r="G8" s="41"/>
      <c r="H8" s="76"/>
      <c r="I8" s="98" t="s">
        <v>112</v>
      </c>
      <c r="J8" s="99"/>
      <c r="K8" s="99"/>
      <c r="L8" s="99"/>
      <c r="M8" s="99"/>
      <c r="N8" s="99"/>
    </row>
    <row r="9" spans="1:32" s="24" customFormat="1" ht="22.5" customHeight="1" x14ac:dyDescent="0.3">
      <c r="A9" s="80" t="s">
        <v>84</v>
      </c>
      <c r="B9" s="80"/>
      <c r="C9" s="80"/>
      <c r="D9" s="80"/>
      <c r="E9" s="41"/>
      <c r="F9" s="41"/>
      <c r="G9" s="41"/>
      <c r="H9" s="41"/>
      <c r="I9" s="41"/>
      <c r="J9" s="41"/>
      <c r="K9" s="41"/>
      <c r="L9" s="41"/>
      <c r="M9" s="41"/>
    </row>
    <row r="10" spans="1:32" s="24" customFormat="1" ht="22.5" customHeight="1" x14ac:dyDescent="0.3">
      <c r="A10" s="80" t="s">
        <v>17</v>
      </c>
      <c r="B10" s="80"/>
      <c r="C10" s="80"/>
      <c r="D10" s="80"/>
      <c r="E10" s="41"/>
      <c r="F10" s="41"/>
      <c r="G10" s="41"/>
      <c r="H10" s="41"/>
      <c r="I10" s="41"/>
      <c r="J10" s="41"/>
      <c r="K10" s="41"/>
      <c r="L10" s="41"/>
      <c r="M10" s="41"/>
    </row>
    <row r="11" spans="1:32" s="24" customFormat="1" ht="22.5" customHeight="1" x14ac:dyDescent="0.3">
      <c r="A11" s="43" t="s">
        <v>86</v>
      </c>
      <c r="B11" s="43"/>
      <c r="C11" s="43"/>
      <c r="D11" s="43"/>
      <c r="E11" s="43"/>
      <c r="F11" s="43"/>
      <c r="G11" s="43"/>
      <c r="H11" s="43"/>
      <c r="I11" s="43"/>
      <c r="J11" s="43"/>
      <c r="K11" s="41"/>
      <c r="L11" s="41"/>
      <c r="M11" s="41"/>
      <c r="AF11" s="26"/>
    </row>
    <row r="12" spans="1:32" s="32" customFormat="1" ht="22.5" customHeight="1" x14ac:dyDescent="0.3">
      <c r="A12" s="80" t="s">
        <v>87</v>
      </c>
      <c r="B12" s="80"/>
      <c r="C12" s="80"/>
      <c r="D12" s="80"/>
      <c r="E12" s="80"/>
      <c r="F12" s="80"/>
      <c r="G12" s="80"/>
      <c r="H12" s="80"/>
      <c r="I12" s="80"/>
      <c r="J12" s="81"/>
      <c r="K12" s="80"/>
      <c r="L12" s="80"/>
      <c r="M12" s="80"/>
    </row>
    <row r="13" spans="1:32" s="32" customFormat="1" ht="22.5" customHeight="1" x14ac:dyDescent="0.3">
      <c r="A13" s="80" t="s">
        <v>42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</row>
    <row r="14" spans="1:32" s="32" customFormat="1" ht="22.5" customHeight="1" x14ac:dyDescent="0.3">
      <c r="A14" s="80" t="s">
        <v>63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</row>
    <row r="15" spans="1:32" s="32" customFormat="1" ht="39" customHeight="1" x14ac:dyDescent="0.3">
      <c r="A15" s="96" t="s">
        <v>108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</row>
    <row r="16" spans="1:32" s="24" customFormat="1" ht="22.5" customHeight="1" x14ac:dyDescent="0.3">
      <c r="A16" s="46" t="s">
        <v>105</v>
      </c>
      <c r="B16" s="46"/>
      <c r="C16" s="46"/>
      <c r="D16" s="46"/>
      <c r="E16" s="46"/>
      <c r="F16" s="46"/>
      <c r="G16" s="46"/>
      <c r="H16" s="46"/>
      <c r="I16" s="46"/>
      <c r="J16" s="46"/>
      <c r="AF16" s="26"/>
    </row>
    <row r="17" spans="1:32" s="24" customFormat="1" ht="22.5" customHeight="1" x14ac:dyDescent="0.3">
      <c r="A17" s="46" t="s">
        <v>107</v>
      </c>
      <c r="B17" s="46"/>
      <c r="C17" s="46"/>
      <c r="D17" s="46"/>
      <c r="E17" s="46"/>
      <c r="F17" s="46"/>
      <c r="G17" s="46"/>
      <c r="H17" s="46"/>
      <c r="I17" s="46"/>
      <c r="J17" s="46"/>
      <c r="AF17" s="26"/>
    </row>
    <row r="18" spans="1:32" s="24" customFormat="1" ht="33" customHeight="1" x14ac:dyDescent="0.3">
      <c r="A18" s="96" t="s">
        <v>102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AF18" s="26"/>
    </row>
  </sheetData>
  <sheetProtection formatCells="0" formatColumns="0" formatRows="0" insertColumns="0" insertRows="0" insertHyperlinks="0" deleteColumns="0" deleteRows="0" selectLockedCells="1" sort="0" autoFilter="0" pivotTables="0"/>
  <mergeCells count="29">
    <mergeCell ref="A18:R18"/>
    <mergeCell ref="A8:D8"/>
    <mergeCell ref="A9:D9"/>
    <mergeCell ref="A10:D10"/>
    <mergeCell ref="A7:J7"/>
    <mergeCell ref="A15:T15"/>
    <mergeCell ref="I8:N8"/>
    <mergeCell ref="AC2:AC4"/>
    <mergeCell ref="T2:V3"/>
    <mergeCell ref="W2:AA2"/>
    <mergeCell ref="W3:Y3"/>
    <mergeCell ref="AA3:AA4"/>
    <mergeCell ref="Z3:Z4"/>
    <mergeCell ref="A1:AC1"/>
    <mergeCell ref="H3:O3"/>
    <mergeCell ref="A13:M13"/>
    <mergeCell ref="A14:M14"/>
    <mergeCell ref="P3:R3"/>
    <mergeCell ref="A12:M12"/>
    <mergeCell ref="A2:A4"/>
    <mergeCell ref="B2:B4"/>
    <mergeCell ref="C2:C4"/>
    <mergeCell ref="D2:D4"/>
    <mergeCell ref="E3:E4"/>
    <mergeCell ref="F3:F4"/>
    <mergeCell ref="G3:G4"/>
    <mergeCell ref="E2:S2"/>
    <mergeCell ref="S3:S4"/>
    <mergeCell ref="AB2:AB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1"/>
  <sheetViews>
    <sheetView zoomScale="90" zoomScaleNormal="90" workbookViewId="0"/>
  </sheetViews>
  <sheetFormatPr defaultRowHeight="16.5" x14ac:dyDescent="0.3"/>
  <cols>
    <col min="1" max="4" width="6.625" customWidth="1"/>
    <col min="5" max="5" width="12.625" customWidth="1"/>
    <col min="6" max="6" width="8.625" customWidth="1"/>
    <col min="7" max="7" width="6.625" customWidth="1"/>
    <col min="8" max="8" width="5.625" customWidth="1"/>
    <col min="9" max="9" width="8.625" customWidth="1"/>
    <col min="10" max="10" width="37.625" customWidth="1"/>
    <col min="11" max="12" width="7.5" customWidth="1"/>
    <col min="13" max="13" width="7.625" customWidth="1"/>
    <col min="14" max="14" width="19" style="1" customWidth="1"/>
    <col min="15" max="15" width="12.375" customWidth="1"/>
  </cols>
  <sheetData>
    <row r="1" spans="1:22" s="2" customFormat="1" ht="34.5" thickBot="1" x14ac:dyDescent="0.35">
      <c r="A1" s="45" t="s">
        <v>123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9"/>
    </row>
    <row r="2" spans="1:22" s="16" customFormat="1" ht="35.1" customHeight="1" x14ac:dyDescent="0.3">
      <c r="A2" s="100" t="s">
        <v>55</v>
      </c>
      <c r="B2" s="102" t="s">
        <v>30</v>
      </c>
      <c r="C2" s="102" t="s">
        <v>19</v>
      </c>
      <c r="D2" s="102" t="s">
        <v>20</v>
      </c>
      <c r="E2" s="104" t="s">
        <v>0</v>
      </c>
      <c r="F2" s="102" t="s">
        <v>3</v>
      </c>
      <c r="G2" s="104" t="s">
        <v>31</v>
      </c>
      <c r="H2" s="102" t="s">
        <v>103</v>
      </c>
      <c r="I2" s="104"/>
      <c r="J2" s="104" t="s">
        <v>98</v>
      </c>
      <c r="K2" s="102" t="s">
        <v>34</v>
      </c>
      <c r="L2" s="104"/>
      <c r="M2" s="104"/>
      <c r="N2" s="108" t="s">
        <v>50</v>
      </c>
    </row>
    <row r="3" spans="1:22" s="16" customFormat="1" ht="24.95" customHeight="1" x14ac:dyDescent="0.3">
      <c r="A3" s="101"/>
      <c r="B3" s="103"/>
      <c r="C3" s="103"/>
      <c r="D3" s="103"/>
      <c r="E3" s="105"/>
      <c r="F3" s="105"/>
      <c r="G3" s="105"/>
      <c r="H3" s="35" t="s">
        <v>1</v>
      </c>
      <c r="I3" s="35" t="s">
        <v>2</v>
      </c>
      <c r="J3" s="105"/>
      <c r="K3" s="28" t="s">
        <v>7</v>
      </c>
      <c r="L3" s="28" t="s">
        <v>6</v>
      </c>
      <c r="M3" s="28" t="s">
        <v>8</v>
      </c>
      <c r="N3" s="109"/>
    </row>
    <row r="4" spans="1:22" s="19" customFormat="1" ht="20.100000000000001" customHeight="1" x14ac:dyDescent="0.3">
      <c r="A4" s="17">
        <v>1</v>
      </c>
      <c r="B4" s="10">
        <v>1</v>
      </c>
      <c r="C4" s="10" t="s">
        <v>48</v>
      </c>
      <c r="D4" s="10" t="s">
        <v>49</v>
      </c>
      <c r="E4" s="18" t="s">
        <v>4</v>
      </c>
      <c r="F4" s="10" t="s">
        <v>75</v>
      </c>
      <c r="G4" s="10" t="s">
        <v>10</v>
      </c>
      <c r="H4" s="10">
        <v>3</v>
      </c>
      <c r="I4" s="10">
        <v>2</v>
      </c>
      <c r="J4" s="63" t="s">
        <v>7</v>
      </c>
      <c r="K4" s="10">
        <v>1</v>
      </c>
      <c r="L4" s="10"/>
      <c r="M4" s="10"/>
      <c r="N4" s="22" t="s">
        <v>51</v>
      </c>
    </row>
    <row r="5" spans="1:22" s="19" customFormat="1" ht="20.100000000000001" customHeight="1" x14ac:dyDescent="0.3">
      <c r="A5" s="17">
        <v>2</v>
      </c>
      <c r="B5" s="10">
        <v>2</v>
      </c>
      <c r="C5" s="10"/>
      <c r="D5" s="10"/>
      <c r="E5" s="18" t="s">
        <v>4</v>
      </c>
      <c r="F5" s="10" t="s">
        <v>76</v>
      </c>
      <c r="G5" s="10" t="s">
        <v>10</v>
      </c>
      <c r="H5" s="10">
        <v>1</v>
      </c>
      <c r="I5" s="10">
        <v>1</v>
      </c>
      <c r="J5" s="63" t="s">
        <v>69</v>
      </c>
      <c r="K5" s="10">
        <v>1</v>
      </c>
      <c r="L5" s="10"/>
      <c r="M5" s="10"/>
      <c r="N5" s="22"/>
    </row>
    <row r="6" spans="1:22" s="19" customFormat="1" ht="20.100000000000001" customHeight="1" x14ac:dyDescent="0.3">
      <c r="A6" s="17">
        <v>3</v>
      </c>
      <c r="B6" s="10">
        <v>3</v>
      </c>
      <c r="C6" s="10"/>
      <c r="D6" s="10"/>
      <c r="E6" s="18" t="s">
        <v>4</v>
      </c>
      <c r="F6" s="10" t="s">
        <v>77</v>
      </c>
      <c r="G6" s="10" t="s">
        <v>10</v>
      </c>
      <c r="H6" s="10" t="s">
        <v>93</v>
      </c>
      <c r="I6" s="10"/>
      <c r="J6" s="63" t="s">
        <v>7</v>
      </c>
      <c r="K6" s="10">
        <v>1</v>
      </c>
      <c r="L6" s="10"/>
      <c r="M6" s="10"/>
      <c r="N6" s="22"/>
    </row>
    <row r="7" spans="1:22" s="19" customFormat="1" ht="20.100000000000001" customHeight="1" x14ac:dyDescent="0.3">
      <c r="A7" s="17">
        <v>4</v>
      </c>
      <c r="B7" s="10">
        <v>4</v>
      </c>
      <c r="C7" s="10"/>
      <c r="D7" s="10"/>
      <c r="E7" s="18"/>
      <c r="F7" s="18"/>
      <c r="G7" s="18"/>
      <c r="H7" s="18"/>
      <c r="I7" s="18"/>
      <c r="J7" s="63" t="s">
        <v>67</v>
      </c>
      <c r="K7" s="10"/>
      <c r="L7" s="18">
        <v>1</v>
      </c>
      <c r="M7" s="10"/>
      <c r="N7" s="22"/>
    </row>
    <row r="8" spans="1:22" s="19" customFormat="1" ht="20.100000000000001" customHeight="1" x14ac:dyDescent="0.3">
      <c r="A8" s="17">
        <v>5</v>
      </c>
      <c r="B8" s="10">
        <v>5</v>
      </c>
      <c r="C8" s="10"/>
      <c r="D8" s="10"/>
      <c r="E8" s="18"/>
      <c r="F8" s="18"/>
      <c r="G8" s="18"/>
      <c r="H8" s="18"/>
      <c r="I8" s="18"/>
      <c r="J8" s="63" t="s">
        <v>74</v>
      </c>
      <c r="K8" s="10"/>
      <c r="L8" s="18">
        <v>1</v>
      </c>
      <c r="M8" s="10"/>
      <c r="N8" s="22"/>
    </row>
    <row r="9" spans="1:22" s="19" customFormat="1" ht="20.100000000000001" customHeight="1" x14ac:dyDescent="0.3">
      <c r="A9" s="17">
        <v>6</v>
      </c>
      <c r="B9" s="10"/>
      <c r="C9" s="10"/>
      <c r="D9" s="10"/>
      <c r="E9" s="18"/>
      <c r="F9" s="18"/>
      <c r="G9" s="18"/>
      <c r="H9" s="18"/>
      <c r="I9" s="18"/>
      <c r="J9" s="63" t="s">
        <v>82</v>
      </c>
      <c r="K9" s="10"/>
      <c r="L9" s="18"/>
      <c r="M9" s="10">
        <v>1</v>
      </c>
      <c r="N9" s="22"/>
    </row>
    <row r="10" spans="1:22" s="19" customFormat="1" ht="20.100000000000001" customHeight="1" x14ac:dyDescent="0.3">
      <c r="A10" s="17">
        <v>7</v>
      </c>
      <c r="B10" s="10"/>
      <c r="C10" s="10"/>
      <c r="D10" s="10"/>
      <c r="E10" s="18"/>
      <c r="F10" s="18"/>
      <c r="G10" s="18"/>
      <c r="H10" s="18"/>
      <c r="I10" s="18"/>
      <c r="J10" s="63"/>
      <c r="K10" s="10"/>
      <c r="L10" s="18"/>
      <c r="M10" s="10"/>
      <c r="N10" s="22"/>
    </row>
    <row r="11" spans="1:22" s="19" customFormat="1" ht="20.100000000000001" customHeight="1" x14ac:dyDescent="0.3">
      <c r="A11" s="17">
        <v>8</v>
      </c>
      <c r="B11" s="25"/>
      <c r="C11" s="25"/>
      <c r="D11" s="25"/>
      <c r="E11" s="20"/>
      <c r="F11" s="20"/>
      <c r="G11" s="20"/>
      <c r="H11" s="20"/>
      <c r="I11" s="20"/>
      <c r="J11" s="64"/>
      <c r="K11" s="25"/>
      <c r="L11" s="25"/>
      <c r="M11" s="25"/>
      <c r="N11" s="22"/>
    </row>
    <row r="12" spans="1:22" s="19" customFormat="1" ht="20.100000000000001" customHeight="1" x14ac:dyDescent="0.3">
      <c r="A12" s="17">
        <v>9</v>
      </c>
      <c r="B12" s="25"/>
      <c r="C12" s="25"/>
      <c r="D12" s="25"/>
      <c r="E12" s="20"/>
      <c r="F12" s="20"/>
      <c r="G12" s="20"/>
      <c r="H12" s="20"/>
      <c r="I12" s="20"/>
      <c r="J12" s="64"/>
      <c r="K12" s="25"/>
      <c r="L12" s="25"/>
      <c r="M12" s="25"/>
      <c r="N12" s="22"/>
    </row>
    <row r="13" spans="1:22" s="19" customFormat="1" ht="20.100000000000001" customHeight="1" thickBot="1" x14ac:dyDescent="0.35">
      <c r="A13" s="17">
        <v>10</v>
      </c>
      <c r="B13" s="15"/>
      <c r="C13" s="15"/>
      <c r="D13" s="15"/>
      <c r="E13" s="21"/>
      <c r="F13" s="21"/>
      <c r="G13" s="21"/>
      <c r="H13" s="21"/>
      <c r="I13" s="21"/>
      <c r="J13" s="65"/>
      <c r="K13" s="15"/>
      <c r="L13" s="15"/>
      <c r="M13" s="15"/>
      <c r="N13" s="23"/>
    </row>
    <row r="14" spans="1:22" s="16" customFormat="1" ht="47.25" customHeight="1" x14ac:dyDescent="0.3">
      <c r="A14" s="97" t="s">
        <v>65</v>
      </c>
      <c r="B14" s="97"/>
      <c r="C14" s="97"/>
      <c r="D14" s="97"/>
      <c r="E14" s="97"/>
      <c r="F14" s="97"/>
      <c r="G14" s="97"/>
      <c r="H14" s="97"/>
      <c r="I14" s="97"/>
      <c r="J14" s="97"/>
      <c r="K14" s="39"/>
      <c r="L14" s="38"/>
      <c r="M14" s="38"/>
      <c r="N14" s="39"/>
      <c r="O14" s="38"/>
      <c r="P14" s="38"/>
      <c r="Q14" s="40"/>
      <c r="R14" s="38"/>
      <c r="S14" s="39"/>
      <c r="T14" s="38"/>
      <c r="U14" s="38"/>
      <c r="V14" s="37"/>
    </row>
    <row r="15" spans="1:22" ht="74.25" customHeight="1" x14ac:dyDescent="0.3">
      <c r="A15" s="110" t="s">
        <v>109</v>
      </c>
      <c r="B15" s="111"/>
      <c r="C15" s="111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</row>
    <row r="16" spans="1:22" ht="20.100000000000001" customHeight="1" x14ac:dyDescent="0.3">
      <c r="A16" s="106" t="s">
        <v>70</v>
      </c>
      <c r="B16" s="106"/>
      <c r="C16" s="106"/>
      <c r="D16" s="106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</row>
    <row r="17" spans="1:25" s="41" customFormat="1" ht="22.5" customHeight="1" x14ac:dyDescent="0.3">
      <c r="A17" s="43" t="s">
        <v>106</v>
      </c>
      <c r="B17" s="43"/>
      <c r="C17" s="43"/>
      <c r="D17" s="43"/>
      <c r="E17" s="43"/>
      <c r="F17" s="43"/>
      <c r="G17" s="43"/>
      <c r="H17" s="43"/>
      <c r="I17" s="43"/>
      <c r="J17" s="43"/>
      <c r="Y17" s="62"/>
    </row>
    <row r="18" spans="1:25" s="24" customFormat="1" ht="20.100000000000001" customHeight="1" x14ac:dyDescent="0.3">
      <c r="A18" s="24" t="s">
        <v>35</v>
      </c>
      <c r="N18" s="26"/>
    </row>
    <row r="19" spans="1:25" s="24" customFormat="1" ht="20.100000000000001" customHeight="1" x14ac:dyDescent="0.3">
      <c r="A19" s="24" t="s">
        <v>78</v>
      </c>
      <c r="N19" s="26"/>
    </row>
    <row r="20" spans="1:25" s="24" customFormat="1" ht="20.100000000000001" customHeight="1" x14ac:dyDescent="0.3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26"/>
    </row>
    <row r="21" spans="1:25" s="24" customFormat="1" ht="20.100000000000001" customHeight="1" x14ac:dyDescent="0.3">
      <c r="N21" s="26"/>
    </row>
  </sheetData>
  <mergeCells count="15">
    <mergeCell ref="A20:M20"/>
    <mergeCell ref="A14:J14"/>
    <mergeCell ref="A2:A3"/>
    <mergeCell ref="B2:B3"/>
    <mergeCell ref="C2:C3"/>
    <mergeCell ref="D2:D3"/>
    <mergeCell ref="E2:E3"/>
    <mergeCell ref="F2:F3"/>
    <mergeCell ref="G2:G3"/>
    <mergeCell ref="H2:I2"/>
    <mergeCell ref="J2:J3"/>
    <mergeCell ref="K2:M2"/>
    <mergeCell ref="A16:O16"/>
    <mergeCell ref="N2:N3"/>
    <mergeCell ref="A15:O15"/>
  </mergeCells>
  <phoneticPr fontId="1" type="noConversion"/>
  <printOptions horizontalCentered="1"/>
  <pageMargins left="0.19685039370078741" right="0.19685039370078741" top="0.39370078740157483" bottom="0.19685039370078741" header="0" footer="0"/>
  <pageSetup paperSize="9" scale="8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2"/>
  <sheetViews>
    <sheetView tabSelected="1" zoomScale="90" zoomScaleNormal="90" workbookViewId="0">
      <selection activeCell="J18" sqref="J18"/>
    </sheetView>
  </sheetViews>
  <sheetFormatPr defaultRowHeight="16.5" x14ac:dyDescent="0.3"/>
  <cols>
    <col min="1" max="4" width="6.625" customWidth="1"/>
    <col min="5" max="5" width="12.625" customWidth="1"/>
    <col min="6" max="6" width="8.625" customWidth="1"/>
    <col min="7" max="7" width="6.625" customWidth="1"/>
    <col min="8" max="8" width="5.625" customWidth="1"/>
    <col min="9" max="9" width="8.625" customWidth="1"/>
    <col min="10" max="10" width="38" customWidth="1"/>
    <col min="11" max="13" width="7.625" customWidth="1"/>
    <col min="14" max="14" width="19" style="44" customWidth="1"/>
    <col min="15" max="15" width="12.375" customWidth="1"/>
  </cols>
  <sheetData>
    <row r="1" spans="1:22" s="2" customFormat="1" ht="34.5" thickBot="1" x14ac:dyDescent="0.35">
      <c r="A1" s="45" t="s">
        <v>119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9"/>
    </row>
    <row r="2" spans="1:22" s="16" customFormat="1" ht="35.1" customHeight="1" x14ac:dyDescent="0.3">
      <c r="A2" s="100" t="s">
        <v>55</v>
      </c>
      <c r="B2" s="102" t="s">
        <v>30</v>
      </c>
      <c r="C2" s="102" t="s">
        <v>19</v>
      </c>
      <c r="D2" s="102" t="s">
        <v>20</v>
      </c>
      <c r="E2" s="104" t="s">
        <v>0</v>
      </c>
      <c r="F2" s="102" t="s">
        <v>3</v>
      </c>
      <c r="G2" s="104" t="s">
        <v>31</v>
      </c>
      <c r="H2" s="102" t="s">
        <v>103</v>
      </c>
      <c r="I2" s="104"/>
      <c r="J2" s="104" t="s">
        <v>99</v>
      </c>
      <c r="K2" s="102" t="s">
        <v>34</v>
      </c>
      <c r="L2" s="104"/>
      <c r="M2" s="104"/>
      <c r="N2" s="108" t="s">
        <v>50</v>
      </c>
    </row>
    <row r="3" spans="1:22" s="16" customFormat="1" ht="24.95" customHeight="1" x14ac:dyDescent="0.3">
      <c r="A3" s="101"/>
      <c r="B3" s="103"/>
      <c r="C3" s="103"/>
      <c r="D3" s="103"/>
      <c r="E3" s="105"/>
      <c r="F3" s="105"/>
      <c r="G3" s="105"/>
      <c r="H3" s="42" t="s">
        <v>1</v>
      </c>
      <c r="I3" s="42" t="s">
        <v>2</v>
      </c>
      <c r="J3" s="105"/>
      <c r="K3" s="28" t="s">
        <v>7</v>
      </c>
      <c r="L3" s="28" t="s">
        <v>6</v>
      </c>
      <c r="M3" s="28" t="s">
        <v>8</v>
      </c>
      <c r="N3" s="109"/>
    </row>
    <row r="4" spans="1:22" s="19" customFormat="1" ht="20.100000000000001" customHeight="1" x14ac:dyDescent="0.3">
      <c r="A4" s="17">
        <v>1</v>
      </c>
      <c r="B4" s="10">
        <v>1</v>
      </c>
      <c r="C4" s="10" t="s">
        <v>83</v>
      </c>
      <c r="D4" s="10" t="s">
        <v>49</v>
      </c>
      <c r="E4" s="18" t="s">
        <v>118</v>
      </c>
      <c r="F4" s="10" t="s">
        <v>75</v>
      </c>
      <c r="G4" s="10" t="s">
        <v>10</v>
      </c>
      <c r="H4" s="10">
        <v>3</v>
      </c>
      <c r="I4" s="10">
        <v>2</v>
      </c>
      <c r="J4" s="63" t="s">
        <v>7</v>
      </c>
      <c r="K4" s="10">
        <v>1</v>
      </c>
      <c r="L4" s="10"/>
      <c r="M4" s="10"/>
      <c r="N4" s="22" t="s">
        <v>51</v>
      </c>
    </row>
    <row r="5" spans="1:22" s="19" customFormat="1" ht="20.100000000000001" customHeight="1" x14ac:dyDescent="0.3">
      <c r="A5" s="17">
        <v>2</v>
      </c>
      <c r="B5" s="10">
        <v>2</v>
      </c>
      <c r="C5" s="10" t="s">
        <v>114</v>
      </c>
      <c r="D5" s="10" t="s">
        <v>115</v>
      </c>
      <c r="E5" s="18" t="s">
        <v>117</v>
      </c>
      <c r="F5" s="10" t="s">
        <v>76</v>
      </c>
      <c r="G5" s="10" t="s">
        <v>10</v>
      </c>
      <c r="H5" s="10">
        <v>1</v>
      </c>
      <c r="I5" s="10">
        <v>1</v>
      </c>
      <c r="J5" s="63" t="s">
        <v>69</v>
      </c>
      <c r="K5" s="10">
        <v>1</v>
      </c>
      <c r="L5" s="10"/>
      <c r="M5" s="10"/>
      <c r="N5" s="22"/>
    </row>
    <row r="6" spans="1:22" s="19" customFormat="1" ht="20.100000000000001" customHeight="1" x14ac:dyDescent="0.3">
      <c r="A6" s="17">
        <v>3</v>
      </c>
      <c r="B6" s="10">
        <v>3</v>
      </c>
      <c r="C6" s="10" t="s">
        <v>114</v>
      </c>
      <c r="D6" s="10" t="s">
        <v>49</v>
      </c>
      <c r="E6" s="18" t="s">
        <v>117</v>
      </c>
      <c r="F6" s="10" t="s">
        <v>77</v>
      </c>
      <c r="G6" s="10" t="s">
        <v>10</v>
      </c>
      <c r="H6" s="10" t="s">
        <v>93</v>
      </c>
      <c r="I6" s="10"/>
      <c r="J6" s="63" t="s">
        <v>7</v>
      </c>
      <c r="K6" s="10">
        <v>1</v>
      </c>
      <c r="L6" s="10"/>
      <c r="M6" s="10"/>
      <c r="N6" s="22"/>
    </row>
    <row r="7" spans="1:22" s="19" customFormat="1" ht="20.100000000000001" customHeight="1" x14ac:dyDescent="0.3">
      <c r="A7" s="17">
        <v>4</v>
      </c>
      <c r="B7" s="10">
        <v>4</v>
      </c>
      <c r="C7" s="10" t="s">
        <v>114</v>
      </c>
      <c r="D7" s="10" t="s">
        <v>49</v>
      </c>
      <c r="E7" s="18" t="s">
        <v>117</v>
      </c>
      <c r="F7" s="18"/>
      <c r="G7" s="18" t="s">
        <v>116</v>
      </c>
      <c r="H7" s="18"/>
      <c r="I7" s="18"/>
      <c r="J7" s="63" t="s">
        <v>67</v>
      </c>
      <c r="K7" s="10"/>
      <c r="L7" s="18">
        <v>1</v>
      </c>
      <c r="M7" s="10"/>
      <c r="N7" s="22"/>
    </row>
    <row r="8" spans="1:22" s="19" customFormat="1" ht="20.100000000000001" customHeight="1" x14ac:dyDescent="0.3">
      <c r="A8" s="17">
        <v>5</v>
      </c>
      <c r="B8" s="10">
        <v>5</v>
      </c>
      <c r="C8" s="10" t="s">
        <v>114</v>
      </c>
      <c r="D8" s="10" t="s">
        <v>49</v>
      </c>
      <c r="E8" s="18" t="s">
        <v>117</v>
      </c>
      <c r="F8" s="18"/>
      <c r="G8" s="18" t="s">
        <v>10</v>
      </c>
      <c r="H8" s="18"/>
      <c r="I8" s="18"/>
      <c r="J8" s="63" t="s">
        <v>74</v>
      </c>
      <c r="K8" s="10"/>
      <c r="L8" s="18">
        <v>1</v>
      </c>
      <c r="M8" s="10"/>
      <c r="N8" s="22"/>
    </row>
    <row r="9" spans="1:22" s="19" customFormat="1" ht="20.100000000000001" customHeight="1" x14ac:dyDescent="0.3">
      <c r="A9" s="17">
        <v>6</v>
      </c>
      <c r="B9" s="10">
        <v>6</v>
      </c>
      <c r="C9" s="10" t="s">
        <v>114</v>
      </c>
      <c r="D9" s="10" t="s">
        <v>49</v>
      </c>
      <c r="E9" s="18" t="s">
        <v>117</v>
      </c>
      <c r="F9" s="18"/>
      <c r="G9" s="18" t="s">
        <v>10</v>
      </c>
      <c r="H9" s="18"/>
      <c r="I9" s="18"/>
      <c r="J9" s="63" t="s">
        <v>82</v>
      </c>
      <c r="K9" s="10"/>
      <c r="L9" s="18"/>
      <c r="M9" s="10">
        <v>1</v>
      </c>
      <c r="N9" s="22"/>
    </row>
    <row r="10" spans="1:22" s="19" customFormat="1" ht="20.100000000000001" customHeight="1" x14ac:dyDescent="0.3">
      <c r="A10" s="17">
        <v>7</v>
      </c>
      <c r="B10" s="10"/>
      <c r="C10" s="10"/>
      <c r="D10" s="10"/>
      <c r="E10" s="18"/>
      <c r="F10" s="18"/>
      <c r="G10" s="18"/>
      <c r="H10" s="18"/>
      <c r="I10" s="18"/>
      <c r="J10" s="63"/>
      <c r="K10" s="10"/>
      <c r="L10" s="18"/>
      <c r="M10" s="10"/>
      <c r="N10" s="22"/>
    </row>
    <row r="11" spans="1:22" s="19" customFormat="1" ht="20.100000000000001" customHeight="1" x14ac:dyDescent="0.3">
      <c r="A11" s="17">
        <v>8</v>
      </c>
      <c r="B11" s="25"/>
      <c r="C11" s="25"/>
      <c r="D11" s="25"/>
      <c r="E11" s="20"/>
      <c r="F11" s="20"/>
      <c r="G11" s="20"/>
      <c r="H11" s="20"/>
      <c r="I11" s="20"/>
      <c r="J11" s="64"/>
      <c r="K11" s="25"/>
      <c r="L11" s="25"/>
      <c r="M11" s="25"/>
      <c r="N11" s="22"/>
    </row>
    <row r="12" spans="1:22" s="19" customFormat="1" ht="20.100000000000001" customHeight="1" x14ac:dyDescent="0.3">
      <c r="A12" s="17">
        <v>9</v>
      </c>
      <c r="B12" s="25"/>
      <c r="C12" s="25"/>
      <c r="D12" s="25"/>
      <c r="E12" s="20"/>
      <c r="F12" s="20"/>
      <c r="G12" s="20"/>
      <c r="H12" s="20"/>
      <c r="I12" s="20"/>
      <c r="J12" s="64"/>
      <c r="K12" s="25"/>
      <c r="L12" s="25"/>
      <c r="M12" s="25"/>
      <c r="N12" s="22"/>
    </row>
    <row r="13" spans="1:22" s="19" customFormat="1" ht="20.100000000000001" customHeight="1" thickBot="1" x14ac:dyDescent="0.35">
      <c r="A13" s="17">
        <v>10</v>
      </c>
      <c r="B13" s="15"/>
      <c r="C13" s="15"/>
      <c r="D13" s="15"/>
      <c r="E13" s="21"/>
      <c r="F13" s="21"/>
      <c r="G13" s="21"/>
      <c r="H13" s="21"/>
      <c r="I13" s="21"/>
      <c r="J13" s="65"/>
      <c r="K13" s="15"/>
      <c r="L13" s="15"/>
      <c r="M13" s="15"/>
      <c r="N13" s="23"/>
    </row>
    <row r="14" spans="1:22" s="16" customFormat="1" ht="46.5" customHeight="1" x14ac:dyDescent="0.3">
      <c r="A14" s="97" t="s">
        <v>65</v>
      </c>
      <c r="B14" s="97"/>
      <c r="C14" s="97"/>
      <c r="D14" s="97"/>
      <c r="E14" s="97"/>
      <c r="F14" s="97"/>
      <c r="G14" s="97"/>
      <c r="H14" s="97"/>
      <c r="I14" s="97"/>
      <c r="J14" s="97"/>
      <c r="K14" s="39"/>
      <c r="L14" s="38"/>
      <c r="M14" s="38"/>
      <c r="N14" s="39"/>
      <c r="O14" s="38"/>
      <c r="P14" s="38"/>
      <c r="Q14" s="40"/>
      <c r="R14" s="38"/>
      <c r="S14" s="39"/>
      <c r="T14" s="38"/>
      <c r="U14" s="38"/>
      <c r="V14" s="37"/>
    </row>
    <row r="15" spans="1:22" ht="74.25" customHeight="1" x14ac:dyDescent="0.3">
      <c r="A15" s="110" t="s">
        <v>109</v>
      </c>
      <c r="B15" s="111"/>
      <c r="C15" s="111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</row>
    <row r="16" spans="1:22" ht="20.100000000000001" customHeight="1" x14ac:dyDescent="0.3">
      <c r="A16" s="106" t="s">
        <v>70</v>
      </c>
      <c r="B16" s="106"/>
      <c r="C16" s="106"/>
      <c r="D16" s="106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</row>
    <row r="17" spans="1:25" s="41" customFormat="1" ht="22.5" customHeight="1" x14ac:dyDescent="0.3">
      <c r="A17" s="43" t="s">
        <v>106</v>
      </c>
      <c r="B17" s="43"/>
      <c r="C17" s="43"/>
      <c r="D17" s="43"/>
      <c r="E17" s="43"/>
      <c r="F17" s="43"/>
      <c r="G17" s="43"/>
      <c r="H17" s="43"/>
      <c r="I17" s="43"/>
      <c r="J17" s="43"/>
      <c r="Y17" s="62"/>
    </row>
    <row r="18" spans="1:25" s="24" customFormat="1" ht="20.100000000000001" customHeight="1" x14ac:dyDescent="0.3">
      <c r="A18" s="24" t="s">
        <v>35</v>
      </c>
      <c r="N18" s="26"/>
    </row>
    <row r="19" spans="1:25" s="24" customFormat="1" ht="20.100000000000001" customHeight="1" x14ac:dyDescent="0.3">
      <c r="A19" s="24" t="s">
        <v>78</v>
      </c>
      <c r="N19" s="26"/>
    </row>
    <row r="20" spans="1:25" s="24" customFormat="1" ht="20.100000000000001" customHeight="1" x14ac:dyDescent="0.3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26"/>
    </row>
    <row r="21" spans="1:25" s="24" customFormat="1" ht="20.100000000000001" customHeight="1" x14ac:dyDescent="0.3">
      <c r="N21" s="26"/>
    </row>
    <row r="22" spans="1:25" x14ac:dyDescent="0.3">
      <c r="C22" t="s">
        <v>113</v>
      </c>
    </row>
  </sheetData>
  <mergeCells count="15">
    <mergeCell ref="K2:M2"/>
    <mergeCell ref="N2:N3"/>
    <mergeCell ref="A20:M20"/>
    <mergeCell ref="A14:J14"/>
    <mergeCell ref="A15:O15"/>
    <mergeCell ref="A16:O16"/>
    <mergeCell ref="F2:F3"/>
    <mergeCell ref="G2:G3"/>
    <mergeCell ref="H2:I2"/>
    <mergeCell ref="J2:J3"/>
    <mergeCell ref="A2:A3"/>
    <mergeCell ref="B2:B3"/>
    <mergeCell ref="C2:C3"/>
    <mergeCell ref="D2:D3"/>
    <mergeCell ref="E2:E3"/>
  </mergeCells>
  <phoneticPr fontId="1" type="noConversion"/>
  <printOptions horizontalCentered="1"/>
  <pageMargins left="0.19685039370078741" right="0.19685039370078741" top="0.39370078740157483" bottom="0.19685039370078741" header="0" footer="0"/>
  <pageSetup paperSize="9" scale="8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1"/>
  <sheetViews>
    <sheetView zoomScale="90" zoomScaleNormal="90" workbookViewId="0"/>
  </sheetViews>
  <sheetFormatPr defaultRowHeight="16.5" x14ac:dyDescent="0.3"/>
  <cols>
    <col min="1" max="4" width="6.625" customWidth="1"/>
    <col min="5" max="5" width="12.625" customWidth="1"/>
    <col min="6" max="6" width="8.625" customWidth="1"/>
    <col min="7" max="7" width="6.625" customWidth="1"/>
    <col min="8" max="8" width="5.625" customWidth="1"/>
    <col min="9" max="9" width="8.625" customWidth="1"/>
    <col min="10" max="10" width="38.125" customWidth="1"/>
    <col min="11" max="13" width="7.625" customWidth="1"/>
    <col min="14" max="14" width="19" style="44" customWidth="1"/>
    <col min="15" max="15" width="12.375" customWidth="1"/>
  </cols>
  <sheetData>
    <row r="1" spans="1:22" s="2" customFormat="1" ht="34.5" thickBot="1" x14ac:dyDescent="0.35">
      <c r="A1" s="45" t="s">
        <v>120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9"/>
    </row>
    <row r="2" spans="1:22" s="16" customFormat="1" ht="35.1" customHeight="1" x14ac:dyDescent="0.3">
      <c r="A2" s="100" t="s">
        <v>55</v>
      </c>
      <c r="B2" s="102" t="s">
        <v>30</v>
      </c>
      <c r="C2" s="102" t="s">
        <v>19</v>
      </c>
      <c r="D2" s="102" t="s">
        <v>20</v>
      </c>
      <c r="E2" s="104" t="s">
        <v>0</v>
      </c>
      <c r="F2" s="102" t="s">
        <v>3</v>
      </c>
      <c r="G2" s="104" t="s">
        <v>31</v>
      </c>
      <c r="H2" s="102" t="s">
        <v>103</v>
      </c>
      <c r="I2" s="104"/>
      <c r="J2" s="104" t="s">
        <v>98</v>
      </c>
      <c r="K2" s="102" t="s">
        <v>34</v>
      </c>
      <c r="L2" s="104"/>
      <c r="M2" s="104"/>
      <c r="N2" s="108" t="s">
        <v>50</v>
      </c>
    </row>
    <row r="3" spans="1:22" s="16" customFormat="1" ht="24.95" customHeight="1" x14ac:dyDescent="0.3">
      <c r="A3" s="101"/>
      <c r="B3" s="103"/>
      <c r="C3" s="103"/>
      <c r="D3" s="103"/>
      <c r="E3" s="105"/>
      <c r="F3" s="105"/>
      <c r="G3" s="105"/>
      <c r="H3" s="42" t="s">
        <v>1</v>
      </c>
      <c r="I3" s="42" t="s">
        <v>2</v>
      </c>
      <c r="J3" s="105"/>
      <c r="K3" s="28" t="s">
        <v>7</v>
      </c>
      <c r="L3" s="28" t="s">
        <v>6</v>
      </c>
      <c r="M3" s="28" t="s">
        <v>8</v>
      </c>
      <c r="N3" s="109"/>
    </row>
    <row r="4" spans="1:22" s="19" customFormat="1" ht="20.100000000000001" customHeight="1" x14ac:dyDescent="0.3">
      <c r="A4" s="17">
        <v>1</v>
      </c>
      <c r="B4" s="10">
        <v>1</v>
      </c>
      <c r="C4" s="10" t="s">
        <v>57</v>
      </c>
      <c r="D4" s="10" t="s">
        <v>49</v>
      </c>
      <c r="E4" s="18" t="s">
        <v>4</v>
      </c>
      <c r="F4" s="10" t="s">
        <v>75</v>
      </c>
      <c r="G4" s="10" t="s">
        <v>10</v>
      </c>
      <c r="H4" s="10">
        <v>3</v>
      </c>
      <c r="I4" s="10">
        <v>2</v>
      </c>
      <c r="J4" s="63" t="s">
        <v>7</v>
      </c>
      <c r="K4" s="10">
        <v>1</v>
      </c>
      <c r="L4" s="10"/>
      <c r="M4" s="10"/>
      <c r="N4" s="22" t="s">
        <v>51</v>
      </c>
    </row>
    <row r="5" spans="1:22" s="19" customFormat="1" ht="20.100000000000001" customHeight="1" x14ac:dyDescent="0.3">
      <c r="A5" s="17">
        <v>2</v>
      </c>
      <c r="B5" s="10">
        <v>2</v>
      </c>
      <c r="C5" s="10"/>
      <c r="D5" s="10"/>
      <c r="E5" s="18" t="s">
        <v>4</v>
      </c>
      <c r="F5" s="10" t="s">
        <v>76</v>
      </c>
      <c r="G5" s="10" t="s">
        <v>10</v>
      </c>
      <c r="H5" s="10">
        <v>1</v>
      </c>
      <c r="I5" s="10">
        <v>1</v>
      </c>
      <c r="J5" s="63" t="s">
        <v>69</v>
      </c>
      <c r="K5" s="10">
        <v>1</v>
      </c>
      <c r="L5" s="10"/>
      <c r="M5" s="10"/>
      <c r="N5" s="22"/>
    </row>
    <row r="6" spans="1:22" s="19" customFormat="1" ht="20.100000000000001" customHeight="1" x14ac:dyDescent="0.3">
      <c r="A6" s="17">
        <v>3</v>
      </c>
      <c r="B6" s="10">
        <v>3</v>
      </c>
      <c r="C6" s="10"/>
      <c r="D6" s="10"/>
      <c r="E6" s="18" t="s">
        <v>4</v>
      </c>
      <c r="F6" s="10" t="s">
        <v>77</v>
      </c>
      <c r="G6" s="10" t="s">
        <v>10</v>
      </c>
      <c r="H6" s="10" t="s">
        <v>93</v>
      </c>
      <c r="I6" s="10"/>
      <c r="J6" s="63" t="s">
        <v>7</v>
      </c>
      <c r="K6" s="10">
        <v>1</v>
      </c>
      <c r="L6" s="10"/>
      <c r="M6" s="10"/>
      <c r="N6" s="22"/>
    </row>
    <row r="7" spans="1:22" s="19" customFormat="1" ht="20.100000000000001" customHeight="1" x14ac:dyDescent="0.3">
      <c r="A7" s="17">
        <v>4</v>
      </c>
      <c r="B7" s="10">
        <v>4</v>
      </c>
      <c r="C7" s="10"/>
      <c r="D7" s="10"/>
      <c r="E7" s="18"/>
      <c r="F7" s="18"/>
      <c r="G7" s="18"/>
      <c r="H7" s="18"/>
      <c r="I7" s="18"/>
      <c r="J7" s="63" t="s">
        <v>67</v>
      </c>
      <c r="K7" s="10"/>
      <c r="L7" s="18">
        <v>1</v>
      </c>
      <c r="M7" s="10"/>
      <c r="N7" s="22"/>
    </row>
    <row r="8" spans="1:22" s="19" customFormat="1" ht="20.100000000000001" customHeight="1" x14ac:dyDescent="0.3">
      <c r="A8" s="17">
        <v>5</v>
      </c>
      <c r="B8" s="10">
        <v>5</v>
      </c>
      <c r="C8" s="10"/>
      <c r="D8" s="10"/>
      <c r="E8" s="18"/>
      <c r="F8" s="18"/>
      <c r="G8" s="18"/>
      <c r="H8" s="18"/>
      <c r="I8" s="18"/>
      <c r="J8" s="63" t="s">
        <v>74</v>
      </c>
      <c r="K8" s="10"/>
      <c r="L8" s="18">
        <v>1</v>
      </c>
      <c r="M8" s="10"/>
      <c r="N8" s="22"/>
    </row>
    <row r="9" spans="1:22" s="19" customFormat="1" ht="20.100000000000001" customHeight="1" x14ac:dyDescent="0.3">
      <c r="A9" s="17">
        <v>6</v>
      </c>
      <c r="B9" s="10"/>
      <c r="C9" s="10"/>
      <c r="D9" s="10"/>
      <c r="E9" s="18"/>
      <c r="F9" s="18"/>
      <c r="G9" s="18"/>
      <c r="H9" s="18"/>
      <c r="I9" s="18"/>
      <c r="J9" s="63" t="s">
        <v>82</v>
      </c>
      <c r="K9" s="10"/>
      <c r="L9" s="18"/>
      <c r="M9" s="10">
        <v>1</v>
      </c>
      <c r="N9" s="22"/>
    </row>
    <row r="10" spans="1:22" s="19" customFormat="1" ht="20.100000000000001" customHeight="1" x14ac:dyDescent="0.3">
      <c r="A10" s="17">
        <v>7</v>
      </c>
      <c r="B10" s="10"/>
      <c r="C10" s="10"/>
      <c r="D10" s="10"/>
      <c r="E10" s="18"/>
      <c r="F10" s="18"/>
      <c r="G10" s="18"/>
      <c r="H10" s="18"/>
      <c r="I10" s="18"/>
      <c r="J10" s="63"/>
      <c r="K10" s="10"/>
      <c r="L10" s="18"/>
      <c r="M10" s="10"/>
      <c r="N10" s="22"/>
    </row>
    <row r="11" spans="1:22" s="19" customFormat="1" ht="20.100000000000001" customHeight="1" x14ac:dyDescent="0.3">
      <c r="A11" s="17">
        <v>8</v>
      </c>
      <c r="B11" s="25"/>
      <c r="C11" s="25"/>
      <c r="D11" s="25"/>
      <c r="E11" s="20"/>
      <c r="F11" s="20"/>
      <c r="G11" s="20"/>
      <c r="H11" s="20"/>
      <c r="I11" s="20"/>
      <c r="J11" s="64"/>
      <c r="K11" s="25"/>
      <c r="L11" s="25"/>
      <c r="M11" s="25"/>
      <c r="N11" s="22"/>
    </row>
    <row r="12" spans="1:22" s="19" customFormat="1" ht="20.100000000000001" customHeight="1" x14ac:dyDescent="0.3">
      <c r="A12" s="17">
        <v>9</v>
      </c>
      <c r="B12" s="25"/>
      <c r="C12" s="25"/>
      <c r="D12" s="25"/>
      <c r="E12" s="20"/>
      <c r="F12" s="20"/>
      <c r="G12" s="20"/>
      <c r="H12" s="20"/>
      <c r="I12" s="20"/>
      <c r="J12" s="64"/>
      <c r="K12" s="25"/>
      <c r="L12" s="25"/>
      <c r="M12" s="25"/>
      <c r="N12" s="22"/>
    </row>
    <row r="13" spans="1:22" s="19" customFormat="1" ht="20.100000000000001" customHeight="1" thickBot="1" x14ac:dyDescent="0.35">
      <c r="A13" s="17">
        <v>10</v>
      </c>
      <c r="B13" s="15"/>
      <c r="C13" s="15"/>
      <c r="D13" s="15"/>
      <c r="E13" s="21"/>
      <c r="F13" s="21"/>
      <c r="G13" s="21"/>
      <c r="H13" s="21"/>
      <c r="I13" s="21"/>
      <c r="J13" s="65"/>
      <c r="K13" s="15"/>
      <c r="L13" s="15"/>
      <c r="M13" s="15"/>
      <c r="N13" s="23"/>
    </row>
    <row r="14" spans="1:22" s="16" customFormat="1" ht="47.25" customHeight="1" x14ac:dyDescent="0.3">
      <c r="A14" s="97" t="s">
        <v>65</v>
      </c>
      <c r="B14" s="97"/>
      <c r="C14" s="97"/>
      <c r="D14" s="97"/>
      <c r="E14" s="97"/>
      <c r="F14" s="97"/>
      <c r="G14" s="97"/>
      <c r="H14" s="97"/>
      <c r="I14" s="97"/>
      <c r="J14" s="97"/>
      <c r="K14" s="39"/>
      <c r="L14" s="38"/>
      <c r="M14" s="38"/>
      <c r="N14" s="39"/>
      <c r="O14" s="38"/>
      <c r="P14" s="38"/>
      <c r="Q14" s="40"/>
      <c r="R14" s="38"/>
      <c r="S14" s="39"/>
      <c r="T14" s="38"/>
      <c r="U14" s="38"/>
      <c r="V14" s="37"/>
    </row>
    <row r="15" spans="1:22" ht="74.25" customHeight="1" x14ac:dyDescent="0.3">
      <c r="A15" s="110" t="s">
        <v>109</v>
      </c>
      <c r="B15" s="111"/>
      <c r="C15" s="111"/>
      <c r="D15" s="111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</row>
    <row r="16" spans="1:22" ht="20.100000000000001" customHeight="1" x14ac:dyDescent="0.3">
      <c r="A16" s="106" t="s">
        <v>70</v>
      </c>
      <c r="B16" s="106"/>
      <c r="C16" s="106"/>
      <c r="D16" s="106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</row>
    <row r="17" spans="1:25" s="41" customFormat="1" ht="22.5" customHeight="1" x14ac:dyDescent="0.3">
      <c r="A17" s="43" t="s">
        <v>106</v>
      </c>
      <c r="B17" s="43"/>
      <c r="C17" s="43"/>
      <c r="D17" s="43"/>
      <c r="E17" s="43"/>
      <c r="F17" s="43"/>
      <c r="G17" s="43"/>
      <c r="H17" s="43"/>
      <c r="I17" s="43"/>
      <c r="J17" s="43"/>
      <c r="Y17" s="62"/>
    </row>
    <row r="18" spans="1:25" s="24" customFormat="1" ht="20.100000000000001" customHeight="1" x14ac:dyDescent="0.3">
      <c r="A18" s="24" t="s">
        <v>35</v>
      </c>
      <c r="N18" s="26"/>
    </row>
    <row r="19" spans="1:25" s="24" customFormat="1" ht="20.100000000000001" customHeight="1" x14ac:dyDescent="0.3">
      <c r="A19" s="24" t="s">
        <v>78</v>
      </c>
      <c r="N19" s="26"/>
    </row>
    <row r="20" spans="1:25" s="24" customFormat="1" ht="20.100000000000001" customHeight="1" x14ac:dyDescent="0.3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26"/>
    </row>
    <row r="21" spans="1:25" s="24" customFormat="1" ht="20.100000000000001" customHeight="1" x14ac:dyDescent="0.3">
      <c r="N21" s="26"/>
    </row>
  </sheetData>
  <mergeCells count="15">
    <mergeCell ref="K2:M2"/>
    <mergeCell ref="N2:N3"/>
    <mergeCell ref="A20:M20"/>
    <mergeCell ref="A14:J14"/>
    <mergeCell ref="A15:O15"/>
    <mergeCell ref="A16:O16"/>
    <mergeCell ref="F2:F3"/>
    <mergeCell ref="G2:G3"/>
    <mergeCell ref="H2:I2"/>
    <mergeCell ref="J2:J3"/>
    <mergeCell ref="A2:A3"/>
    <mergeCell ref="B2:B3"/>
    <mergeCell ref="C2:C3"/>
    <mergeCell ref="D2:D3"/>
    <mergeCell ref="E2:E3"/>
  </mergeCells>
  <phoneticPr fontId="1" type="noConversion"/>
  <printOptions horizontalCentered="1"/>
  <pageMargins left="0.19685039370078741" right="0.19685039370078741" top="0.39370078740157483" bottom="0.19685039370078741" header="0" footer="0"/>
  <pageSetup paperSize="9" scale="8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8"/>
  <sheetViews>
    <sheetView zoomScale="90" zoomScaleNormal="90" workbookViewId="0">
      <selection sqref="A1:O1"/>
    </sheetView>
  </sheetViews>
  <sheetFormatPr defaultRowHeight="16.5" x14ac:dyDescent="0.3"/>
  <cols>
    <col min="1" max="4" width="6.625" customWidth="1"/>
    <col min="5" max="6" width="12.625" customWidth="1"/>
    <col min="7" max="7" width="8.625" customWidth="1"/>
    <col min="8" max="8" width="6.625" customWidth="1"/>
    <col min="9" max="9" width="5.625" customWidth="1"/>
    <col min="10" max="10" width="10.125" customWidth="1"/>
    <col min="11" max="11" width="24.125" customWidth="1"/>
    <col min="12" max="14" width="7.625" customWidth="1"/>
    <col min="15" max="15" width="19" style="1" customWidth="1"/>
    <col min="16" max="16" width="12.375" customWidth="1"/>
  </cols>
  <sheetData>
    <row r="1" spans="1:22" s="2" customFormat="1" ht="34.5" thickBot="1" x14ac:dyDescent="0.35">
      <c r="A1" s="113" t="s">
        <v>121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9"/>
    </row>
    <row r="2" spans="1:22" s="16" customFormat="1" ht="35.1" customHeight="1" x14ac:dyDescent="0.3">
      <c r="A2" s="100" t="s">
        <v>55</v>
      </c>
      <c r="B2" s="102" t="s">
        <v>30</v>
      </c>
      <c r="C2" s="102" t="s">
        <v>32</v>
      </c>
      <c r="D2" s="102" t="s">
        <v>33</v>
      </c>
      <c r="E2" s="104" t="s">
        <v>0</v>
      </c>
      <c r="F2" s="114" t="s">
        <v>71</v>
      </c>
      <c r="G2" s="102" t="s">
        <v>3</v>
      </c>
      <c r="H2" s="104" t="s">
        <v>31</v>
      </c>
      <c r="I2" s="102" t="s">
        <v>103</v>
      </c>
      <c r="J2" s="104"/>
      <c r="K2" s="104" t="s">
        <v>98</v>
      </c>
      <c r="L2" s="102" t="s">
        <v>34</v>
      </c>
      <c r="M2" s="104"/>
      <c r="N2" s="104"/>
      <c r="O2" s="108" t="s">
        <v>50</v>
      </c>
    </row>
    <row r="3" spans="1:22" s="16" customFormat="1" ht="24.95" customHeight="1" x14ac:dyDescent="0.3">
      <c r="A3" s="101"/>
      <c r="B3" s="103"/>
      <c r="C3" s="103"/>
      <c r="D3" s="103"/>
      <c r="E3" s="105"/>
      <c r="F3" s="115"/>
      <c r="G3" s="105"/>
      <c r="H3" s="105"/>
      <c r="I3" s="27" t="s">
        <v>1</v>
      </c>
      <c r="J3" s="27" t="s">
        <v>2</v>
      </c>
      <c r="K3" s="105"/>
      <c r="L3" s="28" t="s">
        <v>7</v>
      </c>
      <c r="M3" s="28" t="s">
        <v>6</v>
      </c>
      <c r="N3" s="28" t="s">
        <v>8</v>
      </c>
      <c r="O3" s="109"/>
    </row>
    <row r="4" spans="1:22" s="19" customFormat="1" ht="20.100000000000001" customHeight="1" x14ac:dyDescent="0.3">
      <c r="A4" s="17">
        <v>1</v>
      </c>
      <c r="B4" s="10">
        <v>1</v>
      </c>
      <c r="C4" s="10" t="s">
        <v>56</v>
      </c>
      <c r="D4" s="10" t="s">
        <v>53</v>
      </c>
      <c r="E4" s="48" t="s">
        <v>4</v>
      </c>
      <c r="F4" s="56" t="s">
        <v>101</v>
      </c>
      <c r="G4" s="49" t="s">
        <v>9</v>
      </c>
      <c r="H4" s="49" t="s">
        <v>10</v>
      </c>
      <c r="I4" s="49">
        <v>1</v>
      </c>
      <c r="J4" s="49">
        <v>1</v>
      </c>
      <c r="K4" s="66" t="s">
        <v>66</v>
      </c>
      <c r="L4" s="49">
        <v>1</v>
      </c>
      <c r="M4" s="49"/>
      <c r="N4" s="49"/>
      <c r="O4" s="50" t="s">
        <v>51</v>
      </c>
    </row>
    <row r="5" spans="1:22" s="19" customFormat="1" ht="20.100000000000001" customHeight="1" x14ac:dyDescent="0.3">
      <c r="A5" s="17">
        <v>2</v>
      </c>
      <c r="B5" s="10">
        <v>2</v>
      </c>
      <c r="C5" s="10"/>
      <c r="D5" s="10"/>
      <c r="E5" s="48" t="s">
        <v>4</v>
      </c>
      <c r="F5" s="56" t="s">
        <v>101</v>
      </c>
      <c r="G5" s="49" t="s">
        <v>11</v>
      </c>
      <c r="H5" s="49" t="s">
        <v>10</v>
      </c>
      <c r="I5" s="49">
        <v>3</v>
      </c>
      <c r="J5" s="49">
        <v>2</v>
      </c>
      <c r="K5" s="66" t="s">
        <v>81</v>
      </c>
      <c r="L5" s="49">
        <v>1</v>
      </c>
      <c r="M5" s="49"/>
      <c r="N5" s="49"/>
      <c r="O5" s="50"/>
    </row>
    <row r="6" spans="1:22" s="19" customFormat="1" ht="20.100000000000001" customHeight="1" x14ac:dyDescent="0.3">
      <c r="A6" s="17">
        <v>3</v>
      </c>
      <c r="B6" s="10">
        <v>3</v>
      </c>
      <c r="C6" s="10"/>
      <c r="D6" s="10"/>
      <c r="E6" s="48" t="s">
        <v>4</v>
      </c>
      <c r="F6" s="56" t="s">
        <v>101</v>
      </c>
      <c r="G6" s="49" t="s">
        <v>12</v>
      </c>
      <c r="H6" s="49" t="s">
        <v>10</v>
      </c>
      <c r="I6" s="49"/>
      <c r="J6" s="49"/>
      <c r="K6" s="66" t="s">
        <v>74</v>
      </c>
      <c r="L6" s="49"/>
      <c r="M6" s="49">
        <v>1</v>
      </c>
      <c r="N6" s="49"/>
      <c r="O6" s="50"/>
    </row>
    <row r="7" spans="1:22" s="19" customFormat="1" ht="20.100000000000001" customHeight="1" x14ac:dyDescent="0.3">
      <c r="A7" s="17">
        <v>4</v>
      </c>
      <c r="B7" s="10"/>
      <c r="C7" s="10"/>
      <c r="D7" s="10"/>
      <c r="E7" s="48"/>
      <c r="F7" s="56" t="s">
        <v>101</v>
      </c>
      <c r="G7" s="48"/>
      <c r="H7" s="48"/>
      <c r="I7" s="48"/>
      <c r="J7" s="48"/>
      <c r="K7" s="66" t="s">
        <v>68</v>
      </c>
      <c r="L7" s="49"/>
      <c r="M7" s="48"/>
      <c r="N7" s="49">
        <v>1</v>
      </c>
      <c r="O7" s="50"/>
    </row>
    <row r="8" spans="1:22" s="19" customFormat="1" ht="20.100000000000001" customHeight="1" x14ac:dyDescent="0.3">
      <c r="A8" s="17">
        <v>5</v>
      </c>
      <c r="B8" s="10"/>
      <c r="C8" s="10"/>
      <c r="D8" s="10"/>
      <c r="E8" s="51"/>
      <c r="F8" s="51" t="s">
        <v>73</v>
      </c>
      <c r="G8" s="51"/>
      <c r="H8" s="51"/>
      <c r="I8" s="51"/>
      <c r="J8" s="51"/>
      <c r="K8" s="67" t="s">
        <v>66</v>
      </c>
      <c r="L8" s="52">
        <v>1</v>
      </c>
      <c r="M8" s="51"/>
      <c r="N8" s="52"/>
      <c r="O8" s="53"/>
    </row>
    <row r="9" spans="1:22" s="19" customFormat="1" ht="20.100000000000001" customHeight="1" x14ac:dyDescent="0.3">
      <c r="A9" s="17">
        <v>6</v>
      </c>
      <c r="B9" s="10"/>
      <c r="C9" s="10"/>
      <c r="D9" s="10"/>
      <c r="E9" s="51"/>
      <c r="F9" s="51" t="s">
        <v>73</v>
      </c>
      <c r="G9" s="51"/>
      <c r="H9" s="51"/>
      <c r="I9" s="51"/>
      <c r="J9" s="51"/>
      <c r="K9" s="67" t="s">
        <v>7</v>
      </c>
      <c r="L9" s="52">
        <v>1</v>
      </c>
      <c r="M9" s="51"/>
      <c r="N9" s="52"/>
      <c r="O9" s="53"/>
    </row>
    <row r="10" spans="1:22" s="19" customFormat="1" ht="20.100000000000001" customHeight="1" x14ac:dyDescent="0.3">
      <c r="A10" s="17">
        <v>7</v>
      </c>
      <c r="B10" s="10"/>
      <c r="C10" s="10"/>
      <c r="D10" s="10"/>
      <c r="E10" s="51"/>
      <c r="F10" s="51" t="s">
        <v>73</v>
      </c>
      <c r="G10" s="51"/>
      <c r="H10" s="51"/>
      <c r="I10" s="51"/>
      <c r="J10" s="51"/>
      <c r="K10" s="67" t="s">
        <v>85</v>
      </c>
      <c r="L10" s="52"/>
      <c r="M10" s="51">
        <v>1</v>
      </c>
      <c r="N10" s="52"/>
      <c r="O10" s="53"/>
    </row>
    <row r="11" spans="1:22" s="19" customFormat="1" ht="20.100000000000001" customHeight="1" x14ac:dyDescent="0.3">
      <c r="A11" s="17">
        <v>8</v>
      </c>
      <c r="B11" s="25"/>
      <c r="C11" s="25"/>
      <c r="D11" s="25"/>
      <c r="E11" s="54"/>
      <c r="F11" s="55" t="s">
        <v>100</v>
      </c>
      <c r="G11" s="54"/>
      <c r="H11" s="54"/>
      <c r="I11" s="54"/>
      <c r="J11" s="54"/>
      <c r="K11" s="67" t="s">
        <v>68</v>
      </c>
      <c r="L11" s="55"/>
      <c r="M11" s="55"/>
      <c r="N11" s="55">
        <v>1</v>
      </c>
      <c r="O11" s="53"/>
    </row>
    <row r="12" spans="1:22" s="19" customFormat="1" ht="20.100000000000001" customHeight="1" x14ac:dyDescent="0.3">
      <c r="A12" s="17">
        <v>9</v>
      </c>
      <c r="B12" s="25"/>
      <c r="C12" s="25"/>
      <c r="D12" s="25"/>
      <c r="E12" s="20"/>
      <c r="F12" s="20"/>
      <c r="G12" s="20"/>
      <c r="H12" s="20"/>
      <c r="I12" s="20"/>
      <c r="J12" s="20"/>
      <c r="K12" s="64"/>
      <c r="L12" s="25"/>
      <c r="M12" s="25"/>
      <c r="N12" s="25"/>
      <c r="O12" s="22"/>
    </row>
    <row r="13" spans="1:22" s="19" customFormat="1" ht="20.100000000000001" customHeight="1" thickBot="1" x14ac:dyDescent="0.35">
      <c r="A13" s="17">
        <v>10</v>
      </c>
      <c r="B13" s="15"/>
      <c r="C13" s="15"/>
      <c r="D13" s="15"/>
      <c r="E13" s="21"/>
      <c r="F13" s="21"/>
      <c r="G13" s="21"/>
      <c r="H13" s="21"/>
      <c r="I13" s="21"/>
      <c r="J13" s="21"/>
      <c r="K13" s="65"/>
      <c r="L13" s="15"/>
      <c r="M13" s="15"/>
      <c r="N13" s="15"/>
      <c r="O13" s="23"/>
    </row>
    <row r="14" spans="1:22" s="16" customFormat="1" ht="49.5" customHeight="1" x14ac:dyDescent="0.3">
      <c r="A14" s="97" t="s">
        <v>65</v>
      </c>
      <c r="B14" s="97"/>
      <c r="C14" s="97"/>
      <c r="D14" s="97"/>
      <c r="E14" s="97"/>
      <c r="F14" s="97"/>
      <c r="G14" s="97"/>
      <c r="H14" s="97"/>
      <c r="I14" s="97"/>
      <c r="J14" s="97"/>
      <c r="K14" s="38"/>
      <c r="L14" s="38"/>
      <c r="M14" s="38"/>
      <c r="N14" s="39"/>
      <c r="O14" s="38"/>
      <c r="P14" s="38"/>
      <c r="Q14" s="40"/>
      <c r="R14" s="38"/>
      <c r="S14" s="39"/>
      <c r="T14" s="38"/>
      <c r="U14" s="38"/>
      <c r="V14" s="37"/>
    </row>
    <row r="15" spans="1:22" ht="66" customHeight="1" x14ac:dyDescent="0.3">
      <c r="A15" s="117" t="s">
        <v>110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</row>
    <row r="16" spans="1:22" ht="48.75" customHeight="1" x14ac:dyDescent="0.3">
      <c r="A16" s="116" t="s">
        <v>72</v>
      </c>
      <c r="B16" s="106"/>
      <c r="C16" s="106"/>
      <c r="D16" s="106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/>
    </row>
    <row r="17" spans="1:14" s="24" customFormat="1" ht="20.100000000000001" customHeight="1" x14ac:dyDescent="0.3">
      <c r="A17" s="24" t="s">
        <v>35</v>
      </c>
      <c r="N17" s="26"/>
    </row>
    <row r="18" spans="1:14" s="24" customFormat="1" ht="20.100000000000001" customHeight="1" x14ac:dyDescent="0.3">
      <c r="A18" s="24" t="s">
        <v>79</v>
      </c>
      <c r="N18" s="26"/>
    </row>
  </sheetData>
  <mergeCells count="16">
    <mergeCell ref="A16:N16"/>
    <mergeCell ref="L2:N2"/>
    <mergeCell ref="K2:K3"/>
    <mergeCell ref="A14:J14"/>
    <mergeCell ref="A15:O15"/>
    <mergeCell ref="A1:O1"/>
    <mergeCell ref="I2:J2"/>
    <mergeCell ref="A2:A3"/>
    <mergeCell ref="E2:E3"/>
    <mergeCell ref="G2:G3"/>
    <mergeCell ref="B2:B3"/>
    <mergeCell ref="C2:C3"/>
    <mergeCell ref="D2:D3"/>
    <mergeCell ref="H2:H3"/>
    <mergeCell ref="O2:O3"/>
    <mergeCell ref="F2:F3"/>
  </mergeCells>
  <phoneticPr fontId="1" type="noConversion"/>
  <printOptions horizontalCentered="1"/>
  <pageMargins left="0.19685039370078741" right="0.19685039370078741" top="0.39370078740157483" bottom="0.19685039370078741" header="0" footer="0"/>
  <pageSetup paperSize="9" scale="8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zoomScale="90" zoomScaleNormal="90" workbookViewId="0">
      <selection sqref="A1:J1"/>
    </sheetView>
  </sheetViews>
  <sheetFormatPr defaultRowHeight="16.5" x14ac:dyDescent="0.3"/>
  <cols>
    <col min="1" max="1" width="12.25" customWidth="1"/>
    <col min="2" max="2" width="13.125" customWidth="1"/>
    <col min="3" max="3" width="20.875" customWidth="1"/>
    <col min="4" max="4" width="17.25" customWidth="1"/>
    <col min="5" max="6" width="12" customWidth="1"/>
    <col min="7" max="7" width="21.625" customWidth="1"/>
    <col min="8" max="8" width="11" customWidth="1"/>
    <col min="9" max="9" width="10.25" customWidth="1"/>
    <col min="10" max="10" width="19" style="44" customWidth="1"/>
    <col min="11" max="11" width="12.375" customWidth="1"/>
  </cols>
  <sheetData>
    <row r="1" spans="1:17" s="2" customFormat="1" ht="34.5" thickBot="1" x14ac:dyDescent="0.35">
      <c r="A1" s="113" t="s">
        <v>122</v>
      </c>
      <c r="B1" s="113"/>
      <c r="C1" s="113"/>
      <c r="D1" s="113"/>
      <c r="E1" s="113"/>
      <c r="F1" s="113"/>
      <c r="G1" s="113"/>
      <c r="H1" s="113"/>
      <c r="I1" s="113"/>
      <c r="J1" s="113"/>
      <c r="K1" s="9"/>
    </row>
    <row r="2" spans="1:17" s="16" customFormat="1" ht="35.1" customHeight="1" x14ac:dyDescent="0.3">
      <c r="A2" s="100" t="s">
        <v>55</v>
      </c>
      <c r="B2" s="102" t="s">
        <v>104</v>
      </c>
      <c r="C2" s="104" t="s">
        <v>91</v>
      </c>
      <c r="D2" s="102" t="s">
        <v>3</v>
      </c>
      <c r="E2" s="104" t="s">
        <v>31</v>
      </c>
      <c r="F2" s="114" t="s">
        <v>94</v>
      </c>
      <c r="G2" s="104" t="s">
        <v>80</v>
      </c>
      <c r="H2" s="104"/>
      <c r="I2" s="104"/>
      <c r="J2" s="108" t="s">
        <v>50</v>
      </c>
    </row>
    <row r="3" spans="1:17" s="16" customFormat="1" ht="24.95" customHeight="1" x14ac:dyDescent="0.3">
      <c r="A3" s="101"/>
      <c r="B3" s="103"/>
      <c r="C3" s="105"/>
      <c r="D3" s="105"/>
      <c r="E3" s="105"/>
      <c r="F3" s="115"/>
      <c r="G3" s="105"/>
      <c r="H3" s="28" t="s">
        <v>6</v>
      </c>
      <c r="I3" s="28" t="s">
        <v>8</v>
      </c>
      <c r="J3" s="109"/>
    </row>
    <row r="4" spans="1:17" s="19" customFormat="1" ht="20.100000000000001" customHeight="1" x14ac:dyDescent="0.3">
      <c r="A4" s="17">
        <v>1</v>
      </c>
      <c r="B4" s="10">
        <v>1</v>
      </c>
      <c r="C4" s="18" t="s">
        <v>92</v>
      </c>
      <c r="D4" s="10" t="s">
        <v>95</v>
      </c>
      <c r="E4" s="10" t="s">
        <v>10</v>
      </c>
      <c r="F4" s="10"/>
      <c r="G4" s="63" t="s">
        <v>97</v>
      </c>
      <c r="H4" s="10">
        <v>1</v>
      </c>
      <c r="I4" s="10"/>
      <c r="J4" s="22" t="s">
        <v>51</v>
      </c>
    </row>
    <row r="5" spans="1:17" s="19" customFormat="1" ht="20.100000000000001" customHeight="1" x14ac:dyDescent="0.3">
      <c r="A5" s="17">
        <v>2</v>
      </c>
      <c r="B5" s="10">
        <v>2</v>
      </c>
      <c r="C5" s="18" t="s">
        <v>92</v>
      </c>
      <c r="D5" s="10" t="s">
        <v>76</v>
      </c>
      <c r="E5" s="10" t="s">
        <v>10</v>
      </c>
      <c r="F5" s="10"/>
      <c r="G5" s="63" t="s">
        <v>97</v>
      </c>
      <c r="H5" s="10">
        <v>1</v>
      </c>
      <c r="I5" s="10"/>
      <c r="J5" s="22"/>
    </row>
    <row r="6" spans="1:17" s="19" customFormat="1" ht="20.100000000000001" customHeight="1" x14ac:dyDescent="0.3">
      <c r="A6" s="17">
        <v>3</v>
      </c>
      <c r="B6" s="10">
        <v>3</v>
      </c>
      <c r="C6" s="18" t="s">
        <v>92</v>
      </c>
      <c r="D6" s="10" t="s">
        <v>96</v>
      </c>
      <c r="E6" s="10" t="s">
        <v>10</v>
      </c>
      <c r="F6" s="10"/>
      <c r="G6" s="63" t="s">
        <v>82</v>
      </c>
      <c r="H6" s="10"/>
      <c r="I6" s="10">
        <v>1</v>
      </c>
      <c r="J6" s="22"/>
    </row>
    <row r="7" spans="1:17" s="19" customFormat="1" ht="20.100000000000001" customHeight="1" x14ac:dyDescent="0.3">
      <c r="A7" s="17">
        <v>4</v>
      </c>
      <c r="B7" s="10"/>
      <c r="C7" s="18"/>
      <c r="D7" s="18"/>
      <c r="E7" s="18"/>
      <c r="F7" s="18"/>
      <c r="G7" s="63"/>
      <c r="H7" s="18"/>
      <c r="I7" s="10"/>
      <c r="J7" s="22"/>
    </row>
    <row r="8" spans="1:17" s="19" customFormat="1" ht="20.100000000000001" customHeight="1" x14ac:dyDescent="0.3">
      <c r="A8" s="17">
        <v>5</v>
      </c>
      <c r="B8" s="10"/>
      <c r="C8" s="18"/>
      <c r="D8" s="18"/>
      <c r="E8" s="18"/>
      <c r="F8" s="18"/>
      <c r="G8" s="63"/>
      <c r="H8" s="18"/>
      <c r="I8" s="10"/>
      <c r="J8" s="22"/>
    </row>
    <row r="9" spans="1:17" s="19" customFormat="1" ht="20.100000000000001" customHeight="1" x14ac:dyDescent="0.3">
      <c r="A9" s="17">
        <v>6</v>
      </c>
      <c r="B9" s="10"/>
      <c r="C9" s="18"/>
      <c r="D9" s="18"/>
      <c r="E9" s="18"/>
      <c r="F9" s="18"/>
      <c r="G9" s="63"/>
      <c r="H9" s="18"/>
      <c r="I9" s="10"/>
      <c r="J9" s="22"/>
    </row>
    <row r="10" spans="1:17" s="19" customFormat="1" ht="20.100000000000001" customHeight="1" x14ac:dyDescent="0.3">
      <c r="A10" s="17">
        <v>7</v>
      </c>
      <c r="B10" s="10"/>
      <c r="C10" s="18"/>
      <c r="D10" s="18"/>
      <c r="E10" s="18"/>
      <c r="F10" s="18"/>
      <c r="G10" s="63"/>
      <c r="H10" s="18"/>
      <c r="I10" s="10"/>
      <c r="J10" s="22"/>
    </row>
    <row r="11" spans="1:17" s="19" customFormat="1" ht="20.100000000000001" customHeight="1" x14ac:dyDescent="0.3">
      <c r="A11" s="17">
        <v>8</v>
      </c>
      <c r="B11" s="25"/>
      <c r="C11" s="20"/>
      <c r="D11" s="20"/>
      <c r="E11" s="20"/>
      <c r="F11" s="20"/>
      <c r="G11" s="63"/>
      <c r="H11" s="25"/>
      <c r="I11" s="25"/>
      <c r="J11" s="22"/>
    </row>
    <row r="12" spans="1:17" s="19" customFormat="1" ht="20.100000000000001" customHeight="1" x14ac:dyDescent="0.3">
      <c r="A12" s="17">
        <v>9</v>
      </c>
      <c r="B12" s="25"/>
      <c r="C12" s="20"/>
      <c r="D12" s="20"/>
      <c r="E12" s="20"/>
      <c r="F12" s="20"/>
      <c r="G12" s="64"/>
      <c r="H12" s="25"/>
      <c r="I12" s="25"/>
      <c r="J12" s="22"/>
    </row>
    <row r="13" spans="1:17" s="19" customFormat="1" ht="20.100000000000001" customHeight="1" thickBot="1" x14ac:dyDescent="0.35">
      <c r="A13" s="17">
        <v>10</v>
      </c>
      <c r="B13" s="15"/>
      <c r="C13" s="21"/>
      <c r="D13" s="21"/>
      <c r="E13" s="21"/>
      <c r="F13" s="21"/>
      <c r="G13" s="65"/>
      <c r="H13" s="15"/>
      <c r="I13" s="15"/>
      <c r="J13" s="23"/>
    </row>
    <row r="14" spans="1:17" s="16" customFormat="1" ht="43.5" customHeight="1" x14ac:dyDescent="0.3">
      <c r="A14" s="97" t="s">
        <v>65</v>
      </c>
      <c r="B14" s="97"/>
      <c r="C14" s="97"/>
      <c r="D14" s="97"/>
      <c r="E14" s="97"/>
      <c r="F14" s="47"/>
      <c r="G14" s="38"/>
      <c r="H14" s="38"/>
      <c r="I14" s="39"/>
      <c r="J14" s="38"/>
      <c r="K14" s="38"/>
      <c r="L14" s="40"/>
      <c r="M14" s="38"/>
      <c r="N14" s="39"/>
      <c r="O14" s="38"/>
      <c r="P14" s="38"/>
      <c r="Q14" s="37"/>
    </row>
    <row r="15" spans="1:17" ht="72.75" customHeight="1" x14ac:dyDescent="0.3">
      <c r="A15" s="110" t="s">
        <v>111</v>
      </c>
      <c r="B15" s="111"/>
      <c r="C15" s="112"/>
      <c r="D15" s="112"/>
      <c r="E15" s="112"/>
      <c r="F15" s="112"/>
      <c r="G15" s="112"/>
      <c r="H15" s="112"/>
      <c r="I15" s="112"/>
      <c r="J15"/>
    </row>
    <row r="16" spans="1:17" s="24" customFormat="1" ht="20.100000000000001" customHeight="1" x14ac:dyDescent="0.3">
      <c r="A16" s="24" t="s">
        <v>79</v>
      </c>
      <c r="I16" s="26"/>
    </row>
  </sheetData>
  <mergeCells count="12">
    <mergeCell ref="A14:E14"/>
    <mergeCell ref="A15:I15"/>
    <mergeCell ref="A1:J1"/>
    <mergeCell ref="A2:A3"/>
    <mergeCell ref="B2:B3"/>
    <mergeCell ref="C2:C3"/>
    <mergeCell ref="D2:D3"/>
    <mergeCell ref="E2:E3"/>
    <mergeCell ref="F2:F3"/>
    <mergeCell ref="G2:G3"/>
    <mergeCell ref="H2:I2"/>
    <mergeCell ref="J2:J3"/>
  </mergeCells>
  <phoneticPr fontId="1" type="noConversion"/>
  <printOptions horizontalCentered="1"/>
  <pageMargins left="0.19685039370078741" right="0.19685039370078741" top="0.39370078740157483" bottom="0.19685039370078741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1.배정인원참고표</vt:lpstr>
      <vt:lpstr>2.교별통계(공통)</vt:lpstr>
      <vt:lpstr>3.신청명부(초)</vt:lpstr>
      <vt:lpstr>4.신청명부(중)</vt:lpstr>
      <vt:lpstr>5.신청명부(고)</vt:lpstr>
      <vt:lpstr>6.신청명부(특수)</vt:lpstr>
      <vt:lpstr>7.신청명부(지역교육청)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2014-10-23T15:10:15Z</cp:lastPrinted>
  <dcterms:created xsi:type="dcterms:W3CDTF">2013-10-16T10:58:22Z</dcterms:created>
  <dcterms:modified xsi:type="dcterms:W3CDTF">2025-07-29T01:41:26Z</dcterms:modified>
</cp:coreProperties>
</file>