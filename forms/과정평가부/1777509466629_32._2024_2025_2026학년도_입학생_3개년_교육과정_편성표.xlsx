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학교업무도움자료 업무\3 2026 상반기 학교업무도움자료(중고등학교)\2 교육과정 · 평가\2-01.교육과정편성운영\"/>
    </mc:Choice>
  </mc:AlternateContent>
  <xr:revisionPtr revIDLastSave="0" documentId="8_{0CE9CB6E-5E55-4092-8557-3FED1B72E119}" xr6:coauthVersionLast="47" xr6:coauthVersionMax="47" xr10:uidLastSave="{00000000-0000-0000-0000-000000000000}"/>
  <bookViews>
    <workbookView xWindow="7500" yWindow="0" windowWidth="19275" windowHeight="15585" activeTab="2" xr2:uid="{00000000-000D-0000-FFFF-FFFF00000000}"/>
  </bookViews>
  <sheets>
    <sheet name="2024학년도 입학생" sheetId="3" r:id="rId1"/>
    <sheet name="2025학년도 입학생" sheetId="5" r:id="rId2"/>
    <sheet name="2026학년도 입학생" sheetId="6" r:id="rId3"/>
  </sheets>
  <definedNames>
    <definedName name="_xlnm.Print_Area" localSheetId="0">'2024학년도 입학생'!$A$1:$Z$50</definedName>
    <definedName name="_xlnm.Print_Area" localSheetId="1">'2025학년도 입학생'!$A$1:$Y$44</definedName>
    <definedName name="_xlnm.Print_Area" localSheetId="2">'2026학년도 입학생'!$A$1:$Y$44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3" i="6" l="1"/>
  <c r="N43" i="6"/>
  <c r="M43" i="6"/>
  <c r="L43" i="6"/>
  <c r="K43" i="6"/>
  <c r="I43" i="6"/>
  <c r="Y41" i="6"/>
  <c r="J41" i="6"/>
  <c r="X40" i="6"/>
  <c r="W40" i="6"/>
  <c r="V40" i="6"/>
  <c r="R40" i="6"/>
  <c r="H40" i="6"/>
  <c r="T39" i="6"/>
  <c r="T41" i="6" s="1"/>
  <c r="R39" i="6"/>
  <c r="R41" i="6" s="1"/>
  <c r="H39" i="6"/>
  <c r="G39" i="6"/>
  <c r="U39" i="6" s="1"/>
  <c r="O38" i="6"/>
  <c r="N38" i="6"/>
  <c r="M38" i="6"/>
  <c r="L38" i="6"/>
  <c r="K38" i="6"/>
  <c r="J38" i="6"/>
  <c r="I38" i="6"/>
  <c r="R37" i="6"/>
  <c r="H37" i="6"/>
  <c r="R36" i="6"/>
  <c r="H36" i="6"/>
  <c r="R35" i="6"/>
  <c r="H35" i="6"/>
  <c r="R34" i="6"/>
  <c r="Q34" i="6"/>
  <c r="Q38" i="6" s="1"/>
  <c r="H34" i="6"/>
  <c r="O33" i="6"/>
  <c r="O42" i="6" s="1"/>
  <c r="N33" i="6"/>
  <c r="N42" i="6" s="1"/>
  <c r="M33" i="6"/>
  <c r="M42" i="6" s="1"/>
  <c r="L33" i="6"/>
  <c r="L42" i="6" s="1"/>
  <c r="K33" i="6"/>
  <c r="K42" i="6" s="1"/>
  <c r="J33" i="6"/>
  <c r="I33" i="6"/>
  <c r="F33" i="6"/>
  <c r="P32" i="6"/>
  <c r="H32" i="6"/>
  <c r="P31" i="6"/>
  <c r="H31" i="6"/>
  <c r="P30" i="6"/>
  <c r="H30" i="6"/>
  <c r="P29" i="6"/>
  <c r="H29" i="6"/>
  <c r="P28" i="6"/>
  <c r="H28" i="6"/>
  <c r="P27" i="6"/>
  <c r="H27" i="6"/>
  <c r="G27" i="6" s="1"/>
  <c r="U27" i="6" s="1"/>
  <c r="R26" i="6"/>
  <c r="P26" i="6"/>
  <c r="H26" i="6"/>
  <c r="R25" i="6"/>
  <c r="P25" i="6"/>
  <c r="H25" i="6"/>
  <c r="R24" i="6"/>
  <c r="P24" i="6"/>
  <c r="H24" i="6"/>
  <c r="S23" i="6"/>
  <c r="H23" i="6" s="1"/>
  <c r="R23" i="6"/>
  <c r="P23" i="6"/>
  <c r="S22" i="6"/>
  <c r="H22" i="6" s="1"/>
  <c r="R22" i="6"/>
  <c r="P22" i="6"/>
  <c r="S21" i="6"/>
  <c r="H21" i="6" s="1"/>
  <c r="R21" i="6"/>
  <c r="P21" i="6"/>
  <c r="S20" i="6"/>
  <c r="H20" i="6" s="1"/>
  <c r="R20" i="6"/>
  <c r="P20" i="6"/>
  <c r="S19" i="6"/>
  <c r="H19" i="6" s="1"/>
  <c r="R19" i="6"/>
  <c r="P19" i="6"/>
  <c r="S18" i="6"/>
  <c r="H18" i="6" s="1"/>
  <c r="R18" i="6"/>
  <c r="Q18" i="6"/>
  <c r="P18" i="6"/>
  <c r="S17" i="6"/>
  <c r="G17" i="6" s="1"/>
  <c r="U17" i="6" s="1"/>
  <c r="R17" i="6"/>
  <c r="Q17" i="6"/>
  <c r="P17" i="6"/>
  <c r="S16" i="6"/>
  <c r="H16" i="6" s="1"/>
  <c r="R16" i="6"/>
  <c r="Q16" i="6"/>
  <c r="P16" i="6"/>
  <c r="S15" i="6"/>
  <c r="H15" i="6" s="1"/>
  <c r="U15" i="6" s="1"/>
  <c r="R15" i="6"/>
  <c r="Q15" i="6"/>
  <c r="P15" i="6"/>
  <c r="P14" i="6"/>
  <c r="H14" i="6"/>
  <c r="S13" i="6"/>
  <c r="H13" i="6" s="1"/>
  <c r="G13" i="6" s="1"/>
  <c r="U13" i="6" s="1"/>
  <c r="R13" i="6"/>
  <c r="Q13" i="6"/>
  <c r="P13" i="6"/>
  <c r="S12" i="6"/>
  <c r="Y40" i="6" s="1"/>
  <c r="R12" i="6"/>
  <c r="Q12" i="6"/>
  <c r="P12" i="6"/>
  <c r="S11" i="6"/>
  <c r="H11" i="6" s="1"/>
  <c r="U11" i="6" s="1"/>
  <c r="R11" i="6"/>
  <c r="Q11" i="6"/>
  <c r="P11" i="6"/>
  <c r="S10" i="6"/>
  <c r="H10" i="6" s="1"/>
  <c r="R10" i="6"/>
  <c r="Q10" i="6"/>
  <c r="P10" i="6"/>
  <c r="S9" i="6"/>
  <c r="G9" i="6" s="1"/>
  <c r="U9" i="6" s="1"/>
  <c r="R9" i="6"/>
  <c r="Q9" i="6"/>
  <c r="P9" i="6"/>
  <c r="S8" i="6"/>
  <c r="T8" i="6" s="1"/>
  <c r="R8" i="6"/>
  <c r="Q8" i="6"/>
  <c r="P8" i="6"/>
  <c r="S7" i="6"/>
  <c r="H7" i="6" s="1"/>
  <c r="R7" i="6"/>
  <c r="Q7" i="6"/>
  <c r="P7" i="6"/>
  <c r="S6" i="6"/>
  <c r="H6" i="6" s="1"/>
  <c r="U6" i="6" s="1"/>
  <c r="R6" i="6"/>
  <c r="Q6" i="6"/>
  <c r="P6" i="6"/>
  <c r="S5" i="6"/>
  <c r="R5" i="6"/>
  <c r="Q5" i="6"/>
  <c r="P5" i="6"/>
  <c r="O43" i="5"/>
  <c r="N43" i="5"/>
  <c r="M43" i="5"/>
  <c r="L43" i="5"/>
  <c r="K43" i="5"/>
  <c r="I43" i="5"/>
  <c r="Y41" i="5"/>
  <c r="J41" i="5"/>
  <c r="X40" i="5"/>
  <c r="W40" i="5"/>
  <c r="V40" i="5"/>
  <c r="R40" i="5"/>
  <c r="H40" i="5"/>
  <c r="G39" i="5" s="1"/>
  <c r="R39" i="5"/>
  <c r="H39" i="5"/>
  <c r="O38" i="5"/>
  <c r="N38" i="5"/>
  <c r="M38" i="5"/>
  <c r="L38" i="5"/>
  <c r="K38" i="5"/>
  <c r="J38" i="5"/>
  <c r="I38" i="5"/>
  <c r="R37" i="5"/>
  <c r="H37" i="5"/>
  <c r="R36" i="5"/>
  <c r="H36" i="5"/>
  <c r="R35" i="5"/>
  <c r="H35" i="5"/>
  <c r="R34" i="5"/>
  <c r="Q34" i="5"/>
  <c r="Q38" i="5" s="1"/>
  <c r="H34" i="5"/>
  <c r="O33" i="5"/>
  <c r="N33" i="5"/>
  <c r="M33" i="5"/>
  <c r="L33" i="5"/>
  <c r="K33" i="5"/>
  <c r="J33" i="5"/>
  <c r="I33" i="5"/>
  <c r="F33" i="5"/>
  <c r="P32" i="5"/>
  <c r="H32" i="5"/>
  <c r="P31" i="5"/>
  <c r="H31" i="5"/>
  <c r="P30" i="5"/>
  <c r="H30" i="5"/>
  <c r="P29" i="5"/>
  <c r="H29" i="5"/>
  <c r="P28" i="5"/>
  <c r="H28" i="5"/>
  <c r="P27" i="5"/>
  <c r="H27" i="5"/>
  <c r="R26" i="5"/>
  <c r="P26" i="5"/>
  <c r="H26" i="5"/>
  <c r="R25" i="5"/>
  <c r="P25" i="5"/>
  <c r="H25" i="5"/>
  <c r="R24" i="5"/>
  <c r="P24" i="5"/>
  <c r="H24" i="5"/>
  <c r="S23" i="5"/>
  <c r="H23" i="5" s="1"/>
  <c r="R23" i="5"/>
  <c r="P23" i="5"/>
  <c r="S22" i="5"/>
  <c r="H22" i="5" s="1"/>
  <c r="R22" i="5"/>
  <c r="P22" i="5"/>
  <c r="S21" i="5"/>
  <c r="H21" i="5" s="1"/>
  <c r="R21" i="5"/>
  <c r="P21" i="5"/>
  <c r="S20" i="5"/>
  <c r="H20" i="5" s="1"/>
  <c r="R20" i="5"/>
  <c r="P20" i="5"/>
  <c r="S19" i="5"/>
  <c r="H19" i="5" s="1"/>
  <c r="R19" i="5"/>
  <c r="P19" i="5"/>
  <c r="S18" i="5"/>
  <c r="H18" i="5" s="1"/>
  <c r="R18" i="5"/>
  <c r="Q18" i="5"/>
  <c r="P18" i="5"/>
  <c r="S17" i="5"/>
  <c r="G17" i="5" s="1"/>
  <c r="U17" i="5" s="1"/>
  <c r="R17" i="5"/>
  <c r="Q17" i="5"/>
  <c r="P17" i="5"/>
  <c r="S16" i="5"/>
  <c r="H16" i="5" s="1"/>
  <c r="U16" i="5" s="1"/>
  <c r="R16" i="5"/>
  <c r="Q16" i="5"/>
  <c r="P16" i="5"/>
  <c r="S15" i="5"/>
  <c r="H15" i="5" s="1"/>
  <c r="R15" i="5"/>
  <c r="Q15" i="5"/>
  <c r="P15" i="5"/>
  <c r="P14" i="5"/>
  <c r="H14" i="5"/>
  <c r="S13" i="5"/>
  <c r="H13" i="5" s="1"/>
  <c r="R13" i="5"/>
  <c r="Q13" i="5"/>
  <c r="P13" i="5"/>
  <c r="S12" i="5"/>
  <c r="H12" i="5" s="1"/>
  <c r="U12" i="5" s="1"/>
  <c r="R12" i="5"/>
  <c r="Q12" i="5"/>
  <c r="P12" i="5"/>
  <c r="S11" i="5"/>
  <c r="H11" i="5" s="1"/>
  <c r="U11" i="5" s="1"/>
  <c r="R11" i="5"/>
  <c r="Q11" i="5"/>
  <c r="P11" i="5"/>
  <c r="S10" i="5"/>
  <c r="H10" i="5" s="1"/>
  <c r="R10" i="5"/>
  <c r="Q10" i="5"/>
  <c r="P10" i="5"/>
  <c r="S9" i="5"/>
  <c r="G9" i="5" s="1"/>
  <c r="U9" i="5" s="1"/>
  <c r="R9" i="5"/>
  <c r="Q9" i="5"/>
  <c r="P9" i="5"/>
  <c r="S8" i="5"/>
  <c r="H8" i="5" s="1"/>
  <c r="U8" i="5" s="1"/>
  <c r="R8" i="5"/>
  <c r="Q8" i="5"/>
  <c r="P8" i="5"/>
  <c r="S7" i="5"/>
  <c r="H7" i="5" s="1"/>
  <c r="U7" i="5" s="1"/>
  <c r="R7" i="5"/>
  <c r="Q7" i="5"/>
  <c r="P7" i="5"/>
  <c r="S6" i="5"/>
  <c r="R6" i="5"/>
  <c r="Q6" i="5"/>
  <c r="P6" i="5"/>
  <c r="S5" i="5"/>
  <c r="R5" i="5"/>
  <c r="Q5" i="5"/>
  <c r="P5" i="5"/>
  <c r="T13" i="6" l="1"/>
  <c r="T11" i="6"/>
  <c r="T6" i="6"/>
  <c r="T9" i="6"/>
  <c r="T12" i="6"/>
  <c r="T15" i="6"/>
  <c r="S33" i="6"/>
  <c r="S42" i="6" s="1"/>
  <c r="T7" i="6"/>
  <c r="G5" i="6"/>
  <c r="U5" i="6" s="1"/>
  <c r="T10" i="6"/>
  <c r="T17" i="6"/>
  <c r="T5" i="6"/>
  <c r="I42" i="6"/>
  <c r="J42" i="6"/>
  <c r="G34" i="6"/>
  <c r="U34" i="6" s="1"/>
  <c r="R38" i="6"/>
  <c r="R33" i="6"/>
  <c r="T18" i="6"/>
  <c r="Q33" i="6"/>
  <c r="Q42" i="6" s="1"/>
  <c r="G18" i="6"/>
  <c r="U18" i="6" s="1"/>
  <c r="U7" i="6"/>
  <c r="U10" i="6"/>
  <c r="G15" i="6"/>
  <c r="U16" i="6"/>
  <c r="G41" i="6"/>
  <c r="H8" i="6"/>
  <c r="U8" i="6" s="1"/>
  <c r="T16" i="6"/>
  <c r="T34" i="6"/>
  <c r="T38" i="6" s="1"/>
  <c r="H12" i="6"/>
  <c r="U12" i="6" s="1"/>
  <c r="M42" i="5"/>
  <c r="N42" i="5"/>
  <c r="G13" i="5"/>
  <c r="U13" i="5" s="1"/>
  <c r="T6" i="5"/>
  <c r="K42" i="5"/>
  <c r="T8" i="5"/>
  <c r="O42" i="5"/>
  <c r="J42" i="5"/>
  <c r="L42" i="5"/>
  <c r="G34" i="5"/>
  <c r="U34" i="5" s="1"/>
  <c r="R38" i="5"/>
  <c r="T34" i="5"/>
  <c r="T38" i="5" s="1"/>
  <c r="I42" i="5"/>
  <c r="T7" i="5"/>
  <c r="T10" i="5"/>
  <c r="T12" i="5"/>
  <c r="T13" i="5"/>
  <c r="T16" i="5"/>
  <c r="T5" i="5"/>
  <c r="R33" i="5"/>
  <c r="Q33" i="5"/>
  <c r="Q42" i="5" s="1"/>
  <c r="T17" i="5"/>
  <c r="T11" i="5"/>
  <c r="G27" i="5"/>
  <c r="T15" i="5"/>
  <c r="T9" i="5"/>
  <c r="T18" i="5"/>
  <c r="R41" i="5"/>
  <c r="G10" i="5"/>
  <c r="U10" i="5"/>
  <c r="U39" i="5"/>
  <c r="G41" i="5"/>
  <c r="G18" i="5"/>
  <c r="U18" i="5" s="1"/>
  <c r="G15" i="5"/>
  <c r="U15" i="5"/>
  <c r="G5" i="5"/>
  <c r="H6" i="5"/>
  <c r="S33" i="5"/>
  <c r="S42" i="5" s="1"/>
  <c r="T39" i="5"/>
  <c r="T41" i="5" s="1"/>
  <c r="Y40" i="5"/>
  <c r="V31" i="3"/>
  <c r="V14" i="3"/>
  <c r="T33" i="6" l="1"/>
  <c r="T42" i="6" s="1"/>
  <c r="R42" i="6"/>
  <c r="G38" i="6"/>
  <c r="G10" i="6"/>
  <c r="G6" i="6"/>
  <c r="G38" i="5"/>
  <c r="U27" i="5"/>
  <c r="T33" i="5"/>
  <c r="T42" i="5" s="1"/>
  <c r="R42" i="5"/>
  <c r="U5" i="5"/>
  <c r="U6" i="5"/>
  <c r="G6" i="5"/>
  <c r="G33" i="5" s="1"/>
  <c r="G33" i="6" l="1"/>
  <c r="G42" i="6" s="1"/>
  <c r="U42" i="6" s="1"/>
  <c r="G42" i="5"/>
  <c r="U42" i="5" s="1"/>
  <c r="X31" i="3"/>
  <c r="H8" i="3" l="1"/>
  <c r="H7" i="3"/>
  <c r="H6" i="3"/>
  <c r="R14" i="3" l="1"/>
  <c r="R13" i="3"/>
  <c r="G39" i="3" l="1"/>
  <c r="G38" i="3"/>
  <c r="G37" i="3"/>
  <c r="G36" i="3"/>
  <c r="H33" i="3"/>
  <c r="H32" i="3"/>
  <c r="H31" i="3"/>
  <c r="G30" i="3"/>
  <c r="G29" i="3"/>
  <c r="G28" i="3"/>
  <c r="G27" i="3"/>
  <c r="H25" i="3"/>
  <c r="H24" i="3"/>
  <c r="H23" i="3"/>
  <c r="H22" i="3"/>
  <c r="H21" i="3"/>
  <c r="H20" i="3"/>
  <c r="H19" i="3"/>
  <c r="H18" i="3"/>
  <c r="G17" i="3"/>
  <c r="H16" i="3"/>
  <c r="H15" i="3"/>
  <c r="H14" i="3"/>
  <c r="U14" i="3" s="1"/>
  <c r="H13" i="3"/>
  <c r="H12" i="3"/>
  <c r="H11" i="3"/>
  <c r="H10" i="3"/>
  <c r="G9" i="3"/>
  <c r="G5" i="3"/>
  <c r="G40" i="3" l="1"/>
  <c r="G10" i="3"/>
  <c r="G31" i="3"/>
  <c r="G34" i="3" s="1"/>
  <c r="G13" i="3"/>
  <c r="G15" i="3"/>
  <c r="G6" i="3"/>
  <c r="G18" i="3"/>
  <c r="G26" i="3" l="1"/>
  <c r="G41" i="3" s="1"/>
  <c r="R18" i="3" l="1"/>
  <c r="Q23" i="3" l="1"/>
  <c r="Q24" i="3"/>
  <c r="K23" i="3"/>
  <c r="K24" i="3"/>
  <c r="R16" i="3" l="1"/>
  <c r="R15" i="3"/>
  <c r="K33" i="3" l="1"/>
  <c r="S33" i="3" s="1"/>
  <c r="K32" i="3"/>
  <c r="S32" i="3" s="1"/>
  <c r="K31" i="3"/>
  <c r="S31" i="3" s="1"/>
  <c r="K30" i="3"/>
  <c r="K29" i="3"/>
  <c r="K28" i="3"/>
  <c r="K27" i="3"/>
  <c r="S27" i="3" l="1"/>
  <c r="R39" i="3"/>
  <c r="R38" i="3"/>
  <c r="R37" i="3"/>
  <c r="R36" i="3"/>
  <c r="Z34" i="3"/>
  <c r="R33" i="3"/>
  <c r="T33" i="3" s="1"/>
  <c r="Z32" i="3"/>
  <c r="R32" i="3"/>
  <c r="T32" i="3" s="1"/>
  <c r="Z31" i="3"/>
  <c r="Y31" i="3"/>
  <c r="R31" i="3"/>
  <c r="T31" i="3" s="1"/>
  <c r="R27" i="3"/>
  <c r="Z18" i="3"/>
  <c r="Z17" i="3"/>
  <c r="R17" i="3"/>
  <c r="R12" i="3"/>
  <c r="R11" i="3"/>
  <c r="Z10" i="3"/>
  <c r="R10" i="3"/>
  <c r="Z9" i="3"/>
  <c r="U9" i="3"/>
  <c r="R9" i="3"/>
  <c r="R8" i="3"/>
  <c r="R7" i="3"/>
  <c r="Z6" i="3"/>
  <c r="R6" i="3"/>
  <c r="Z5" i="3"/>
  <c r="R5" i="3"/>
  <c r="T27" i="3" l="1"/>
  <c r="T34" i="3"/>
  <c r="R34" i="3"/>
  <c r="R26" i="3"/>
  <c r="R40" i="3"/>
  <c r="R41" i="3" l="1"/>
  <c r="P42" i="3" l="1"/>
  <c r="O42" i="3"/>
  <c r="N42" i="3"/>
  <c r="M42" i="3"/>
  <c r="L42" i="3"/>
  <c r="I42" i="3"/>
  <c r="K39" i="3" l="1"/>
  <c r="S39" i="3" s="1"/>
  <c r="T39" i="3" s="1"/>
  <c r="K38" i="3"/>
  <c r="S38" i="3" s="1"/>
  <c r="T38" i="3" s="1"/>
  <c r="K37" i="3"/>
  <c r="S37" i="3" s="1"/>
  <c r="T37" i="3" s="1"/>
  <c r="K36" i="3"/>
  <c r="K25" i="3"/>
  <c r="K22" i="3"/>
  <c r="K21" i="3"/>
  <c r="K20" i="3"/>
  <c r="K19" i="3"/>
  <c r="K18" i="3"/>
  <c r="K17" i="3"/>
  <c r="K16" i="3"/>
  <c r="S16" i="3" s="1"/>
  <c r="T16" i="3" s="1"/>
  <c r="K15" i="3"/>
  <c r="S15" i="3" s="1"/>
  <c r="T15" i="3" s="1"/>
  <c r="K14" i="3"/>
  <c r="S14" i="3" s="1"/>
  <c r="T14" i="3" s="1"/>
  <c r="K13" i="3"/>
  <c r="S13" i="3" s="1"/>
  <c r="K12" i="3"/>
  <c r="S12" i="3" s="1"/>
  <c r="T12" i="3" s="1"/>
  <c r="K11" i="3"/>
  <c r="K10" i="3"/>
  <c r="S10" i="3" s="1"/>
  <c r="T10" i="3" s="1"/>
  <c r="K9" i="3"/>
  <c r="K8" i="3"/>
  <c r="S8" i="3" s="1"/>
  <c r="T8" i="3" s="1"/>
  <c r="K7" i="3"/>
  <c r="S7" i="3" s="1"/>
  <c r="T7" i="3" s="1"/>
  <c r="K6" i="3"/>
  <c r="S6" i="3" s="1"/>
  <c r="T6" i="3" s="1"/>
  <c r="K5" i="3"/>
  <c r="S5" i="3" s="1"/>
  <c r="J40" i="3"/>
  <c r="P34" i="3"/>
  <c r="O34" i="3"/>
  <c r="N34" i="3"/>
  <c r="M34" i="3"/>
  <c r="L34" i="3"/>
  <c r="J34" i="3"/>
  <c r="I34" i="3"/>
  <c r="P26" i="3"/>
  <c r="O26" i="3"/>
  <c r="N26" i="3"/>
  <c r="M26" i="3"/>
  <c r="L26" i="3"/>
  <c r="J26" i="3"/>
  <c r="I26" i="3"/>
  <c r="F26" i="3"/>
  <c r="Q25" i="3"/>
  <c r="Q22" i="3"/>
  <c r="Q21" i="3"/>
  <c r="Q20" i="3"/>
  <c r="Q19" i="3"/>
  <c r="Q18" i="3"/>
  <c r="Q17" i="3"/>
  <c r="U17" i="3"/>
  <c r="Q16" i="3"/>
  <c r="Q15" i="3"/>
  <c r="Q14" i="3"/>
  <c r="U31" i="3"/>
  <c r="Q13" i="3"/>
  <c r="Q12" i="3"/>
  <c r="U12" i="3"/>
  <c r="Q11" i="3"/>
  <c r="U11" i="3"/>
  <c r="Q10" i="3"/>
  <c r="Q9" i="3"/>
  <c r="Q8" i="3"/>
  <c r="U8" i="3"/>
  <c r="Q7" i="3"/>
  <c r="U7" i="3"/>
  <c r="Q6" i="3"/>
  <c r="U6" i="3"/>
  <c r="Q5" i="3"/>
  <c r="U5" i="3"/>
  <c r="U16" i="3" l="1"/>
  <c r="U13" i="3"/>
  <c r="T13" i="3"/>
  <c r="T5" i="3"/>
  <c r="S18" i="3"/>
  <c r="T18" i="3" s="1"/>
  <c r="S11" i="3"/>
  <c r="T11" i="3" s="1"/>
  <c r="V40" i="3"/>
  <c r="S36" i="3"/>
  <c r="T36" i="3" s="1"/>
  <c r="T40" i="3" s="1"/>
  <c r="S17" i="3"/>
  <c r="T17" i="3" s="1"/>
  <c r="S9" i="3"/>
  <c r="T9" i="3" s="1"/>
  <c r="U15" i="3"/>
  <c r="M41" i="3"/>
  <c r="N41" i="3"/>
  <c r="O41" i="3"/>
  <c r="P41" i="3"/>
  <c r="K40" i="3"/>
  <c r="U10" i="3"/>
  <c r="J41" i="3"/>
  <c r="L41" i="3"/>
  <c r="I41" i="3"/>
  <c r="K34" i="3"/>
  <c r="V35" i="3" s="1"/>
  <c r="K26" i="3"/>
  <c r="U18" i="3"/>
  <c r="S26" i="3" l="1"/>
  <c r="T26" i="3"/>
  <c r="T41" i="3" s="1"/>
  <c r="S34" i="3"/>
  <c r="S40" i="3"/>
  <c r="K41" i="3"/>
  <c r="S41" i="3" l="1"/>
  <c r="V41" i="3"/>
  <c r="U41" i="3"/>
</calcChain>
</file>

<file path=xl/sharedStrings.xml><?xml version="1.0" encoding="utf-8"?>
<sst xmlns="http://schemas.openxmlformats.org/spreadsheetml/2006/main" count="287" uniqueCount="132">
  <si>
    <t>학교스포츠클럽 대체 체육</t>
  </si>
  <si>
    <t>사회
(역사포함)/
도덕</t>
  </si>
  <si>
    <t>과학/
기술·가정/
정보</t>
  </si>
  <si>
    <t>▶20%증감범위는 고정 값</t>
  </si>
  <si>
    <t>자유학기활동 합계(C)</t>
  </si>
  <si>
    <t>학교스포츠클럽
편성검토</t>
  </si>
  <si>
    <t>창의적체험활동 합계 (B)</t>
  </si>
  <si>
    <t>▶체육예술교과,선택교과는 기준시수 준수(단, 기준시수보다 높게 나타날 수 있음:오류아님)</t>
  </si>
  <si>
    <t>▶(권장)동아리활동은 3년간 51시간 이상 편성(1학년은 자유학기활동에, 2,3학년은 1,2학기 중 한학기 이상 편성)</t>
  </si>
  <si>
    <t>교과 합계 (A)</t>
  </si>
  <si>
    <t>기본
편성
시수</t>
  </si>
  <si>
    <t>총 계 (A+B+C)</t>
  </si>
  <si>
    <t>306
(136)</t>
  </si>
  <si>
    <t>예술
(음악/미술)</t>
  </si>
  <si>
    <t>학교스포츠
클럽</t>
  </si>
  <si>
    <t>20%증감
범위</t>
  </si>
  <si>
    <t>창의적 
체험활동</t>
  </si>
  <si>
    <t>기준
시수
검토</t>
  </si>
  <si>
    <t>학기별 이수과목 수</t>
  </si>
  <si>
    <t>▶체육은 교과감축은 안 되나 자유학기활동으로 조정가능</t>
  </si>
  <si>
    <t>학교스포츠클럽 제외 창체 시수</t>
  </si>
  <si>
    <t xml:space="preserve">▶스포츠클럽 기준대비증감 -34는 136시간에서 체육대체 34임 </t>
  </si>
  <si>
    <t>동아리</t>
  </si>
  <si>
    <t>선택</t>
  </si>
  <si>
    <t>보건</t>
  </si>
  <si>
    <t>과학</t>
  </si>
  <si>
    <t>설명</t>
  </si>
  <si>
    <t>체육</t>
  </si>
  <si>
    <t>영어</t>
  </si>
  <si>
    <t>도덕</t>
  </si>
  <si>
    <t>3학년</t>
  </si>
  <si>
    <t>순증</t>
  </si>
  <si>
    <t>미술</t>
  </si>
  <si>
    <t>1학년</t>
  </si>
  <si>
    <t>수학</t>
  </si>
  <si>
    <t>한문</t>
  </si>
  <si>
    <t>역사</t>
  </si>
  <si>
    <t>정보</t>
  </si>
  <si>
    <t>구분</t>
  </si>
  <si>
    <t>음악</t>
  </si>
  <si>
    <t>국어</t>
  </si>
  <si>
    <t>환경</t>
  </si>
  <si>
    <t>교과</t>
  </si>
  <si>
    <t>2학년</t>
  </si>
  <si>
    <t>사회</t>
  </si>
  <si>
    <r>
      <t>예술</t>
    </r>
    <r>
      <rPr>
        <b/>
        <sz val="10"/>
        <color rgb="FF000000"/>
        <rFont val="맑은 고딕"/>
        <family val="3"/>
        <charset val="129"/>
      </rPr>
      <t>체육활동</t>
    </r>
  </si>
  <si>
    <t>교과감축</t>
  </si>
  <si>
    <t>봉사활동</t>
  </si>
  <si>
    <t xml:space="preserve">▶메모란 </t>
  </si>
  <si>
    <t>진로활동</t>
  </si>
  <si>
    <t>기준
시수</t>
  </si>
  <si>
    <t>진로와 직업</t>
  </si>
  <si>
    <t>편성
학기수</t>
  </si>
  <si>
    <t>생활 외국어</t>
  </si>
  <si>
    <t>자유학기
활동</t>
  </si>
  <si>
    <t>편성
시수</t>
  </si>
  <si>
    <t>창체활용</t>
  </si>
  <si>
    <t>최소
편성</t>
  </si>
  <si>
    <t>동아리활동</t>
  </si>
  <si>
    <t>자율활동</t>
  </si>
  <si>
    <t>기술·가정</t>
  </si>
  <si>
    <t>진로탐색활동</t>
  </si>
  <si>
    <t>최대
편성</t>
  </si>
  <si>
    <t>주제선택활동</t>
  </si>
  <si>
    <t>1학기 편성</t>
  </si>
  <si>
    <t>조정 시수</t>
  </si>
  <si>
    <t>편성 시수</t>
  </si>
  <si>
    <t>총 
증감</t>
  </si>
  <si>
    <t>▶기준시수검토(○)는 최소편성~최고편성</t>
  </si>
  <si>
    <t>2학기</t>
  </si>
  <si>
    <t>1학기</t>
  </si>
  <si>
    <t>자유학기활동 시수 합계</t>
  </si>
  <si>
    <t>▶자유학기활동은 활동시수(4영역)와 조정 교과(시수)를 직접 기재(예시 참조)</t>
    <phoneticPr fontId="14" type="noConversion"/>
  </si>
  <si>
    <t xml:space="preserve">▶음악/미술 교과는 교과감축은 안 되나 자유학기활동으로 조정가능 </t>
    <phoneticPr fontId="14" type="noConversion"/>
  </si>
  <si>
    <t>교과
/창체
증감</t>
    <phoneticPr fontId="14" type="noConversion"/>
  </si>
  <si>
    <t>동아리활동
(학교스포츠클럽 제외, 
자유학기 동아리활동 포함) 
학년별 시수</t>
    <phoneticPr fontId="14" type="noConversion"/>
  </si>
  <si>
    <t>학교스포츠
클럽 시수(대체 체육시간 포함)</t>
    <phoneticPr fontId="14" type="noConversion"/>
  </si>
  <si>
    <t>3,366
(136)</t>
    <phoneticPr fontId="14" type="noConversion"/>
  </si>
  <si>
    <t>자유학기 창체 활용 시수 합계</t>
    <phoneticPr fontId="14" type="noConversion"/>
  </si>
  <si>
    <t>동아리활동</t>
    <phoneticPr fontId="14" type="noConversion"/>
  </si>
  <si>
    <t>2024학년도 입학생 3개년 교육과정 편성표</t>
    <phoneticPr fontId="14" type="noConversion"/>
  </si>
  <si>
    <t>2학기</t>
    <phoneticPr fontId="14" type="noConversion"/>
  </si>
  <si>
    <t>진로활동(17)기술가정(17)</t>
    <phoneticPr fontId="14" type="noConversion"/>
  </si>
  <si>
    <t>국어(17)수학(17)과학(17)영어(17)</t>
    <phoneticPr fontId="14" type="noConversion"/>
  </si>
  <si>
    <t>동아리활동(17)</t>
    <phoneticPr fontId="14" type="noConversion"/>
  </si>
  <si>
    <t>체육(17)미술(17)스포츠(17)</t>
    <phoneticPr fontId="14" type="noConversion"/>
  </si>
  <si>
    <t>2025학년도 입학생 3개년 교육과정 편성표</t>
    <phoneticPr fontId="14" type="noConversion"/>
  </si>
  <si>
    <t>운영
시수</t>
    <phoneticPr fontId="14" type="noConversion"/>
  </si>
  <si>
    <t>편성
학기수</t>
    <phoneticPr fontId="14" type="noConversion"/>
  </si>
  <si>
    <t>교과
/창체
증감</t>
    <phoneticPr fontId="14" type="noConversion"/>
  </si>
  <si>
    <t>학교자율 시간 증</t>
    <phoneticPr fontId="14" type="noConversion"/>
  </si>
  <si>
    <t>1학기 편성</t>
    <phoneticPr fontId="14" type="noConversion"/>
  </si>
  <si>
    <t>1학기 운영</t>
    <phoneticPr fontId="14" type="noConversion"/>
  </si>
  <si>
    <t>2학기</t>
    <phoneticPr fontId="14" type="noConversion"/>
  </si>
  <si>
    <t>주제선택활동</t>
    <phoneticPr fontId="14" type="noConversion"/>
  </si>
  <si>
    <t>진로탐색활동</t>
    <phoneticPr fontId="14" type="noConversion"/>
  </si>
  <si>
    <t>국어</t>
    <phoneticPr fontId="14" type="noConversion"/>
  </si>
  <si>
    <t>사회</t>
    <phoneticPr fontId="14" type="noConversion"/>
  </si>
  <si>
    <t>역사</t>
    <phoneticPr fontId="14" type="noConversion"/>
  </si>
  <si>
    <t>도덕</t>
    <phoneticPr fontId="14" type="noConversion"/>
  </si>
  <si>
    <t>수학</t>
    <phoneticPr fontId="14" type="noConversion"/>
  </si>
  <si>
    <t>과학</t>
    <phoneticPr fontId="14" type="noConversion"/>
  </si>
  <si>
    <t>기술·가정</t>
    <phoneticPr fontId="14" type="noConversion"/>
  </si>
  <si>
    <t>정보</t>
    <phoneticPr fontId="14" type="noConversion"/>
  </si>
  <si>
    <t>체육</t>
    <phoneticPr fontId="14" type="noConversion"/>
  </si>
  <si>
    <t>학교스포츠클럽 대체 체육</t>
    <phoneticPr fontId="14" type="noConversion"/>
  </si>
  <si>
    <t>음악</t>
    <phoneticPr fontId="14" type="noConversion"/>
  </si>
  <si>
    <t>미술</t>
    <phoneticPr fontId="14" type="noConversion"/>
  </si>
  <si>
    <t>영어</t>
    <phoneticPr fontId="14" type="noConversion"/>
  </si>
  <si>
    <t>기타</t>
  </si>
  <si>
    <t>기타</t>
    <phoneticPr fontId="14" type="noConversion"/>
  </si>
  <si>
    <t>학교
자율
시간</t>
    <phoneticPr fontId="14" type="noConversion"/>
  </si>
  <si>
    <t>자율·자치활동</t>
    <phoneticPr fontId="14" type="noConversion"/>
  </si>
  <si>
    <t>306
(136)</t>
    <phoneticPr fontId="14" type="noConversion"/>
  </si>
  <si>
    <t>동아리
활동</t>
    <phoneticPr fontId="14" type="noConversion"/>
  </si>
  <si>
    <t>학교스포츠클럽</t>
    <phoneticPr fontId="14" type="noConversion"/>
  </si>
  <si>
    <t>진로활동</t>
    <phoneticPr fontId="14" type="noConversion"/>
  </si>
  <si>
    <t>동아리활동</t>
    <phoneticPr fontId="14" type="noConversion"/>
  </si>
  <si>
    <t>정보교과
시수</t>
    <phoneticPr fontId="14" type="noConversion"/>
  </si>
  <si>
    <t>자유학기활동</t>
    <phoneticPr fontId="14" type="noConversion"/>
  </si>
  <si>
    <t>1학년</t>
    <phoneticPr fontId="14" type="noConversion"/>
  </si>
  <si>
    <t>2학년</t>
    <phoneticPr fontId="14" type="noConversion"/>
  </si>
  <si>
    <t>3학년</t>
    <phoneticPr fontId="14" type="noConversion"/>
  </si>
  <si>
    <t>학교스포츠클럽 시수
(대체 체육 시수 포함)</t>
    <phoneticPr fontId="14" type="noConversion"/>
  </si>
  <si>
    <t>3,366
(136)</t>
    <phoneticPr fontId="14" type="noConversion"/>
  </si>
  <si>
    <t>학기별 이수 교과목 수</t>
    <phoneticPr fontId="14" type="noConversion"/>
  </si>
  <si>
    <t>특이사항</t>
    <phoneticPr fontId="14" type="noConversion"/>
  </si>
  <si>
    <t>OO중학교</t>
    <phoneticPr fontId="14" type="noConversion"/>
  </si>
  <si>
    <t>OO중학교</t>
    <phoneticPr fontId="14" type="noConversion"/>
  </si>
  <si>
    <t>자유
학기
증감</t>
    <phoneticPr fontId="14" type="noConversion"/>
  </si>
  <si>
    <t>과목명 수기입력</t>
    <phoneticPr fontId="14" type="noConversion"/>
  </si>
  <si>
    <t>2026학년도 입학생 3개년 교육과정 편성표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</si>
</sst>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 ;[Red]\-0\ "/>
    <numFmt numFmtId="177" formatCode="#,##0_ ;[Red]\-#,##0\ "/>
    <numFmt numFmtId="178" formatCode="0_);[Red]\(0\)"/>
    <numFmt numFmtId="179" formatCode="mm&quot;월&quot;\ dd&quot;일&quot;"/>
    <numFmt numFmtId="180" formatCode="#,##0_ "/>
  </numFmts>
  <fonts count="1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1"/>
      <color rgb="FF00206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0FE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D0F1"/>
        <bgColor indexed="64"/>
      </patternFill>
    </fill>
  </fills>
  <borders count="4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indexed="64"/>
      </bottom>
      <diagonal/>
    </border>
    <border>
      <left/>
      <right/>
      <top style="double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thick">
        <color indexed="64"/>
      </bottom>
      <diagonal/>
    </border>
    <border>
      <left style="medium">
        <color indexed="64"/>
      </left>
      <right/>
      <top style="double">
        <color rgb="FF000000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indexed="64"/>
      </right>
      <top/>
      <bottom style="medium">
        <color indexed="64"/>
      </bottom>
      <diagonal/>
    </border>
    <border>
      <left style="medium">
        <color rgb="FF000000"/>
      </left>
      <right style="thick">
        <color indexed="64"/>
      </right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indexed="64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indexed="64"/>
      </right>
      <top style="dashed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double">
        <color rgb="FF000000"/>
      </top>
      <bottom style="thick">
        <color indexed="64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 style="thick">
        <color indexed="64"/>
      </left>
      <right style="thin">
        <color rgb="FF000000"/>
      </right>
      <top style="medium">
        <color indexed="64"/>
      </top>
      <bottom/>
      <diagonal/>
    </border>
    <border>
      <left style="thick">
        <color indexed="64"/>
      </left>
      <right style="thin">
        <color rgb="FF000000"/>
      </right>
      <top/>
      <bottom/>
      <diagonal/>
    </border>
    <border>
      <left style="thick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dotted">
        <color rgb="FF000000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indexed="64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rgb="FF000000"/>
      </right>
      <top style="thick">
        <color indexed="64"/>
      </top>
      <bottom/>
      <diagonal/>
    </border>
    <border>
      <left style="thick">
        <color indexed="64"/>
      </left>
      <right/>
      <top/>
      <bottom style="double">
        <color rgb="FF000000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dashed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double">
        <color rgb="FF000000"/>
      </top>
      <bottom style="dashed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ck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/>
      <top style="thick">
        <color indexed="64"/>
      </top>
      <bottom/>
      <diagonal/>
    </border>
    <border>
      <left style="medium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ck">
        <color indexed="64"/>
      </left>
      <right/>
      <top style="medium">
        <color indexed="64"/>
      </top>
      <bottom style="double">
        <color rgb="FF000000"/>
      </bottom>
      <diagonal/>
    </border>
    <border>
      <left style="thin">
        <color rgb="FF000000"/>
      </left>
      <right/>
      <top style="double">
        <color indexed="64"/>
      </top>
      <bottom style="dotted">
        <color rgb="FF000000"/>
      </bottom>
      <diagonal/>
    </border>
    <border>
      <left/>
      <right/>
      <top style="double">
        <color indexed="64"/>
      </top>
      <bottom style="dotted">
        <color rgb="FF000000"/>
      </bottom>
      <diagonal/>
    </border>
    <border>
      <left/>
      <right style="thin">
        <color rgb="FF000000"/>
      </right>
      <top style="double">
        <color indexed="64"/>
      </top>
      <bottom style="dotted">
        <color rgb="FF000000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indexed="64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 style="double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ashed">
        <color rgb="FF000000"/>
      </bottom>
      <diagonal/>
    </border>
    <border>
      <left style="thick">
        <color indexed="64"/>
      </left>
      <right/>
      <top style="dashed">
        <color rgb="FF000000"/>
      </top>
      <bottom style="dashed">
        <color rgb="FF000000"/>
      </bottom>
      <diagonal/>
    </border>
    <border>
      <left style="thick">
        <color indexed="64"/>
      </left>
      <right/>
      <top style="dashed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tted">
        <color rgb="FF000000"/>
      </bottom>
      <diagonal/>
    </border>
    <border>
      <left style="thick">
        <color indexed="64"/>
      </left>
      <right/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/>
      <top style="dotted">
        <color rgb="FF000000"/>
      </top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 style="dotted">
        <color indexed="64"/>
      </bottom>
      <diagonal/>
    </border>
    <border>
      <left style="thick">
        <color indexed="64"/>
      </left>
      <right/>
      <top style="dotted">
        <color rgb="FF000000"/>
      </top>
      <bottom/>
      <diagonal/>
    </border>
    <border>
      <left style="thick">
        <color indexed="64"/>
      </left>
      <right/>
      <top style="double">
        <color rgb="FF000000"/>
      </top>
      <bottom style="medium">
        <color indexed="64"/>
      </bottom>
      <diagonal/>
    </border>
    <border>
      <left style="thick">
        <color indexed="64"/>
      </left>
      <right/>
      <top style="double">
        <color rgb="FF000000"/>
      </top>
      <bottom style="double">
        <color indexed="64"/>
      </bottom>
      <diagonal/>
    </border>
    <border>
      <left style="thick">
        <color indexed="64"/>
      </left>
      <right style="thin">
        <color rgb="FF000000"/>
      </right>
      <top style="double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dotted">
        <color rgb="FF000000"/>
      </bottom>
      <diagonal/>
    </border>
    <border>
      <left style="thin">
        <color rgb="FF000000"/>
      </left>
      <right/>
      <top style="dotted">
        <color indexed="64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 style="medium">
        <color indexed="64"/>
      </top>
      <bottom style="dashed">
        <color rgb="FF000000"/>
      </bottom>
      <diagonal/>
    </border>
    <border>
      <left/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/>
      <right style="thick">
        <color indexed="64"/>
      </right>
      <top style="double">
        <color rgb="FF000000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ck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dotted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tted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dotted">
        <color rgb="FF000000"/>
      </top>
      <bottom/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rgb="FF000000"/>
      </right>
      <top style="thick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ashed">
        <color rgb="FF000000"/>
      </bottom>
      <diagonal/>
    </border>
    <border>
      <left style="thick">
        <color rgb="FF000000"/>
      </left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thick">
        <color rgb="FF000000"/>
      </right>
      <top style="dashed">
        <color rgb="FF000000"/>
      </top>
      <bottom style="dashed">
        <color rgb="FF000000"/>
      </bottom>
      <diagonal/>
    </border>
    <border>
      <left style="thick">
        <color rgb="FF000000"/>
      </left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ashed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tted">
        <color indexed="64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tted">
        <color indexed="64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 style="medium">
        <color rgb="FF000000"/>
      </left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/>
      <top style="double">
        <color rgb="FF000000"/>
      </top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indexed="64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indexed="64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double">
        <color indexed="64"/>
      </bottom>
      <diagonal/>
    </border>
    <border>
      <left style="thick">
        <color rgb="FF000000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rgb="FF000000"/>
      </right>
      <top style="double">
        <color indexed="64"/>
      </top>
      <bottom/>
      <diagonal/>
    </border>
    <border>
      <left style="medium">
        <color indexed="64"/>
      </left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indexed="64"/>
      </top>
      <bottom style="dotted">
        <color rgb="FF000000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 style="thick">
        <color rgb="FF000000"/>
      </left>
      <right/>
      <top style="double">
        <color rgb="FF000000"/>
      </top>
      <bottom style="thick">
        <color indexed="64"/>
      </bottom>
      <diagonal/>
    </border>
    <border>
      <left style="medium">
        <color indexed="64"/>
      </left>
      <right style="thick">
        <color rgb="FF000000"/>
      </right>
      <top style="double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dotted">
        <color rgb="FF000000"/>
      </top>
      <bottom/>
      <diagonal/>
    </border>
    <border>
      <left style="thin">
        <color indexed="64"/>
      </left>
      <right style="thick">
        <color indexed="64"/>
      </right>
      <top style="double">
        <color rgb="FF000000"/>
      </top>
      <bottom/>
      <diagonal/>
    </border>
    <border>
      <left style="thin">
        <color rgb="FF000000"/>
      </left>
      <right style="thick">
        <color indexed="64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indexed="64"/>
      </left>
      <right style="thick">
        <color indexed="64"/>
      </right>
      <top/>
      <bottom style="double">
        <color rgb="FF000000"/>
      </bottom>
      <diagonal/>
    </border>
    <border>
      <left style="thick">
        <color indexed="64"/>
      </left>
      <right/>
      <top style="double">
        <color rgb="FF000000"/>
      </top>
      <bottom/>
      <diagonal/>
    </border>
    <border>
      <left style="medium">
        <color indexed="64"/>
      </left>
      <right style="thick">
        <color indexed="64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ck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ck">
        <color indexed="64"/>
      </left>
      <right/>
      <top style="double">
        <color rgb="FF000000"/>
      </top>
      <bottom style="hair">
        <color rgb="FF000000"/>
      </bottom>
      <diagonal/>
    </border>
    <border>
      <left style="medium">
        <color indexed="64"/>
      </left>
      <right style="thick">
        <color indexed="64"/>
      </right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 style="thick">
        <color rgb="FF000000"/>
      </left>
      <right/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ck">
        <color rgb="FF000000"/>
      </right>
      <top style="double">
        <color rgb="FF000000"/>
      </top>
      <bottom style="hair">
        <color rgb="FF000000"/>
      </bottom>
      <diagonal/>
    </border>
    <border>
      <left style="thick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 style="hair">
        <color rgb="FF000000"/>
      </top>
      <bottom style="double">
        <color rgb="FF000000"/>
      </bottom>
      <diagonal/>
    </border>
    <border>
      <left style="thick">
        <color indexed="64"/>
      </left>
      <right/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thick">
        <color indexed="64"/>
      </right>
      <top style="hair">
        <color rgb="FF000000"/>
      </top>
      <bottom style="double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 style="thick">
        <color rgb="FF000000"/>
      </left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000000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indexed="64"/>
      </right>
      <top style="double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indexed="64"/>
      </right>
      <top style="medium">
        <color rgb="FF000000"/>
      </top>
      <bottom/>
      <diagonal/>
    </border>
    <border>
      <left style="thin">
        <color rgb="FF000000"/>
      </left>
      <right style="thick">
        <color indexed="64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 style="thick">
        <color rgb="FF000000"/>
      </left>
      <right/>
      <top/>
      <bottom style="double">
        <color indexed="64"/>
      </bottom>
      <diagonal/>
    </border>
    <border>
      <left style="medium">
        <color rgb="FF000000"/>
      </left>
      <right style="thick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indexed="64"/>
      </right>
      <top/>
      <bottom style="thick">
        <color rgb="FF000000"/>
      </bottom>
      <diagonal/>
    </border>
    <border>
      <left style="thin">
        <color rgb="FF000000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rgb="FF000000"/>
      </right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indexed="64"/>
      </right>
      <top style="thick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double">
        <color rgb="FF000000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/>
      <diagonal/>
    </border>
    <border>
      <left style="thick">
        <color indexed="64"/>
      </left>
      <right style="thin">
        <color indexed="64"/>
      </right>
      <top/>
      <bottom style="double">
        <color rgb="FF000000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medium">
        <color rgb="FF000000"/>
      </bottom>
      <diagonal/>
    </border>
    <border>
      <left style="thick">
        <color indexed="64"/>
      </left>
      <right style="thin">
        <color rgb="FF000000"/>
      </right>
      <top style="medium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0000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rgb="FF000000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41" fontId="13" fillId="0" borderId="0">
      <alignment vertical="center"/>
    </xf>
    <xf numFmtId="41" fontId="1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</cellStyleXfs>
  <cellXfs count="973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41" fontId="2" fillId="2" borderId="1" xfId="1" applyFont="1" applyFill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hidden="1"/>
    </xf>
    <xf numFmtId="0" fontId="4" fillId="4" borderId="17" xfId="0" applyFont="1" applyFill="1" applyBorder="1" applyAlignment="1" applyProtection="1">
      <alignment horizontal="center" vertical="center" wrapText="1"/>
      <protection hidden="1"/>
    </xf>
    <xf numFmtId="176" fontId="3" fillId="5" borderId="13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12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14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15" xfId="0" applyNumberFormat="1" applyFont="1" applyFill="1" applyBorder="1" applyAlignment="1" applyProtection="1">
      <alignment horizontal="center" vertical="center" wrapText="1"/>
      <protection hidden="1"/>
    </xf>
    <xf numFmtId="176" fontId="4" fillId="3" borderId="18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9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176" fontId="3" fillId="5" borderId="2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176" fontId="3" fillId="5" borderId="23" xfId="0" applyNumberFormat="1" applyFont="1" applyFill="1" applyBorder="1" applyAlignment="1" applyProtection="1">
      <alignment horizontal="center" vertical="center" wrapText="1"/>
      <protection hidden="1"/>
    </xf>
    <xf numFmtId="3" fontId="4" fillId="3" borderId="25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38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4" fillId="3" borderId="40" xfId="0" applyFont="1" applyFill="1" applyBorder="1" applyAlignment="1" applyProtection="1">
      <alignment horizontal="center" vertical="center" wrapText="1"/>
      <protection hidden="1"/>
    </xf>
    <xf numFmtId="0" fontId="3" fillId="0" borderId="41" xfId="0" applyFont="1" applyBorder="1" applyAlignment="1" applyProtection="1">
      <alignment horizontal="center" vertical="center" wrapText="1"/>
      <protection locked="0"/>
    </xf>
    <xf numFmtId="0" fontId="3" fillId="0" borderId="42" xfId="0" applyFont="1" applyBorder="1" applyAlignment="1" applyProtection="1">
      <alignment horizontal="center" vertical="center" wrapText="1"/>
      <protection locked="0"/>
    </xf>
    <xf numFmtId="0" fontId="4" fillId="9" borderId="20" xfId="0" applyFont="1" applyFill="1" applyBorder="1" applyAlignment="1" applyProtection="1">
      <alignment horizontal="center" vertical="center" wrapText="1"/>
      <protection hidden="1"/>
    </xf>
    <xf numFmtId="176" fontId="3" fillId="5" borderId="26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27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28" xfId="0" applyNumberFormat="1" applyFont="1" applyFill="1" applyBorder="1" applyAlignment="1" applyProtection="1">
      <alignment horizontal="center" vertical="center" wrapText="1"/>
      <protection hidden="1"/>
    </xf>
    <xf numFmtId="176" fontId="5" fillId="3" borderId="18" xfId="0" applyNumberFormat="1" applyFont="1" applyFill="1" applyBorder="1" applyAlignment="1" applyProtection="1">
      <alignment horizontal="center" vertical="center" wrapText="1"/>
      <protection hidden="1"/>
    </xf>
    <xf numFmtId="176" fontId="3" fillId="5" borderId="4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4" xfId="0" applyFont="1" applyBorder="1" applyAlignment="1" applyProtection="1">
      <alignment horizontal="center" vertical="center" wrapText="1"/>
      <protection locked="0"/>
    </xf>
    <xf numFmtId="0" fontId="3" fillId="0" borderId="45" xfId="0" applyFont="1" applyBorder="1" applyAlignment="1" applyProtection="1">
      <alignment horizontal="center" vertical="center" wrapText="1"/>
      <protection locked="0"/>
    </xf>
    <xf numFmtId="0" fontId="3" fillId="0" borderId="46" xfId="0" applyFont="1" applyBorder="1" applyAlignment="1" applyProtection="1">
      <alignment horizontal="center" vertical="center" wrapText="1"/>
      <protection locked="0"/>
    </xf>
    <xf numFmtId="176" fontId="3" fillId="6" borderId="47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48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25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49" xfId="0" applyNumberFormat="1" applyFont="1" applyFill="1" applyBorder="1" applyAlignment="1" applyProtection="1">
      <alignment horizontal="center" vertical="center" wrapText="1"/>
      <protection hidden="1"/>
    </xf>
    <xf numFmtId="0" fontId="3" fillId="8" borderId="13" xfId="0" applyFont="1" applyFill="1" applyBorder="1" applyAlignment="1" applyProtection="1">
      <alignment horizontal="center" vertical="center" wrapText="1"/>
      <protection locked="0"/>
    </xf>
    <xf numFmtId="0" fontId="3" fillId="8" borderId="4" xfId="0" applyFont="1" applyFill="1" applyBorder="1" applyAlignment="1" applyProtection="1">
      <alignment horizontal="center" vertical="center" wrapText="1"/>
      <protection locked="0"/>
    </xf>
    <xf numFmtId="0" fontId="3" fillId="8" borderId="35" xfId="0" applyFont="1" applyFill="1" applyBorder="1" applyAlignment="1" applyProtection="1">
      <alignment horizontal="center" vertical="center" wrapText="1"/>
      <protection locked="0"/>
    </xf>
    <xf numFmtId="0" fontId="4" fillId="6" borderId="51" xfId="0" applyFont="1" applyFill="1" applyBorder="1" applyAlignment="1" applyProtection="1">
      <alignment horizontal="center" vertical="center" wrapText="1"/>
      <protection hidden="1"/>
    </xf>
    <xf numFmtId="0" fontId="4" fillId="6" borderId="52" xfId="0" applyFont="1" applyFill="1" applyBorder="1" applyAlignment="1" applyProtection="1">
      <alignment horizontal="center" vertical="center" wrapText="1"/>
      <protection hidden="1"/>
    </xf>
    <xf numFmtId="0" fontId="4" fillId="6" borderId="53" xfId="0" applyFont="1" applyFill="1" applyBorder="1" applyAlignment="1" applyProtection="1">
      <alignment horizontal="center" vertical="center" wrapText="1"/>
      <protection hidden="1"/>
    </xf>
    <xf numFmtId="176" fontId="3" fillId="13" borderId="55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6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57" xfId="0" applyNumberFormat="1" applyFont="1" applyFill="1" applyBorder="1" applyAlignment="1" applyProtection="1">
      <alignment horizontal="center" vertical="center" wrapText="1"/>
      <protection hidden="1"/>
    </xf>
    <xf numFmtId="176" fontId="4" fillId="13" borderId="58" xfId="0" applyNumberFormat="1" applyFont="1" applyFill="1" applyBorder="1" applyAlignment="1" applyProtection="1">
      <alignment horizontal="center" vertical="center" wrapText="1"/>
      <protection hidden="1"/>
    </xf>
    <xf numFmtId="176" fontId="4" fillId="6" borderId="59" xfId="0" applyNumberFormat="1" applyFont="1" applyFill="1" applyBorder="1" applyAlignment="1" applyProtection="1">
      <alignment horizontal="center" vertical="center" wrapText="1"/>
      <protection hidden="1"/>
    </xf>
    <xf numFmtId="176" fontId="4" fillId="6" borderId="60" xfId="0" applyNumberFormat="1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alignment vertical="center"/>
      <protection locked="0"/>
    </xf>
    <xf numFmtId="0" fontId="0" fillId="15" borderId="61" xfId="0" applyFill="1" applyBorder="1" applyAlignment="1" applyProtection="1">
      <alignment horizontal="center" vertical="center"/>
      <protection hidden="1"/>
    </xf>
    <xf numFmtId="176" fontId="0" fillId="3" borderId="62" xfId="0" applyNumberFormat="1" applyFill="1" applyBorder="1" applyAlignment="1" applyProtection="1">
      <alignment horizontal="center" vertical="center"/>
      <protection hidden="1"/>
    </xf>
    <xf numFmtId="0" fontId="0" fillId="2" borderId="62" xfId="0" applyFill="1" applyBorder="1" applyAlignment="1" applyProtection="1">
      <alignment horizontal="center" vertical="center"/>
      <protection hidden="1"/>
    </xf>
    <xf numFmtId="0" fontId="0" fillId="2" borderId="62" xfId="0" applyFill="1" applyBorder="1" applyAlignment="1" applyProtection="1">
      <alignment horizontal="center" vertical="center" shrinkToFit="1"/>
      <protection hidden="1"/>
    </xf>
    <xf numFmtId="0" fontId="0" fillId="15" borderId="63" xfId="0" applyFill="1" applyBorder="1" applyAlignment="1" applyProtection="1">
      <alignment horizontal="center" vertical="center"/>
      <protection hidden="1"/>
    </xf>
    <xf numFmtId="0" fontId="0" fillId="3" borderId="64" xfId="0" applyFill="1" applyBorder="1" applyAlignment="1" applyProtection="1">
      <alignment horizontal="center" vertical="center"/>
      <protection hidden="1"/>
    </xf>
    <xf numFmtId="0" fontId="0" fillId="3" borderId="65" xfId="0" applyFill="1" applyBorder="1" applyAlignment="1" applyProtection="1">
      <alignment horizontal="center" vertical="center"/>
      <protection hidden="1"/>
    </xf>
    <xf numFmtId="0" fontId="0" fillId="3" borderId="66" xfId="0" applyFill="1" applyBorder="1" applyAlignment="1" applyProtection="1">
      <alignment horizontal="center" vertical="center"/>
      <protection hidden="1"/>
    </xf>
    <xf numFmtId="0" fontId="0" fillId="3" borderId="62" xfId="0" applyFill="1" applyBorder="1" applyAlignment="1" applyProtection="1">
      <alignment horizontal="center" vertical="center"/>
      <protection hidden="1"/>
    </xf>
    <xf numFmtId="0" fontId="0" fillId="3" borderId="67" xfId="0" applyFill="1" applyBorder="1" applyAlignment="1" applyProtection="1">
      <alignment horizontal="center" vertical="center"/>
      <protection hidden="1"/>
    </xf>
    <xf numFmtId="0" fontId="0" fillId="2" borderId="67" xfId="0" applyFill="1" applyBorder="1" applyAlignment="1" applyProtection="1">
      <alignment horizontal="center" vertical="center"/>
      <protection hidden="1"/>
    </xf>
    <xf numFmtId="0" fontId="0" fillId="2" borderId="69" xfId="0" applyFill="1" applyBorder="1" applyAlignment="1" applyProtection="1">
      <alignment horizontal="center" vertical="center"/>
      <protection hidden="1"/>
    </xf>
    <xf numFmtId="0" fontId="0" fillId="15" borderId="70" xfId="0" applyFill="1" applyBorder="1" applyProtection="1">
      <alignment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15" borderId="71" xfId="0" applyFill="1" applyBorder="1" applyProtection="1">
      <alignment vertical="center"/>
      <protection hidden="1"/>
    </xf>
    <xf numFmtId="0" fontId="0" fillId="3" borderId="72" xfId="0" applyFill="1" applyBorder="1" applyProtection="1">
      <alignment vertical="center"/>
      <protection hidden="1"/>
    </xf>
    <xf numFmtId="0" fontId="0" fillId="15" borderId="73" xfId="0" applyFill="1" applyBorder="1" applyProtection="1">
      <alignment vertical="center"/>
      <protection hidden="1"/>
    </xf>
    <xf numFmtId="0" fontId="0" fillId="3" borderId="74" xfId="0" applyFill="1" applyBorder="1" applyProtection="1">
      <alignment vertical="center"/>
      <protection hidden="1"/>
    </xf>
    <xf numFmtId="0" fontId="0" fillId="15" borderId="75" xfId="0" applyFill="1" applyBorder="1" applyProtection="1">
      <alignment vertical="center"/>
      <protection hidden="1"/>
    </xf>
    <xf numFmtId="0" fontId="0" fillId="3" borderId="76" xfId="0" applyFill="1" applyBorder="1" applyProtection="1">
      <alignment vertical="center"/>
      <protection hidden="1"/>
    </xf>
    <xf numFmtId="0" fontId="4" fillId="12" borderId="16" xfId="0" applyFont="1" applyFill="1" applyBorder="1" applyAlignment="1" applyProtection="1">
      <alignment horizontal="center" vertical="center" wrapText="1"/>
      <protection hidden="1"/>
    </xf>
    <xf numFmtId="176" fontId="4" fillId="12" borderId="38" xfId="0" applyNumberFormat="1" applyFont="1" applyFill="1" applyBorder="1" applyAlignment="1" applyProtection="1">
      <alignment horizontal="center" vertical="center" wrapText="1"/>
      <protection hidden="1"/>
    </xf>
    <xf numFmtId="0" fontId="4" fillId="12" borderId="21" xfId="0" applyFont="1" applyFill="1" applyBorder="1" applyAlignment="1" applyProtection="1">
      <alignment horizontal="center" vertical="center" wrapText="1"/>
      <protection locked="0"/>
    </xf>
    <xf numFmtId="0" fontId="4" fillId="12" borderId="80" xfId="0" applyFont="1" applyFill="1" applyBorder="1" applyAlignment="1" applyProtection="1">
      <alignment horizontal="center" vertical="center" wrapText="1"/>
      <protection locked="0"/>
    </xf>
    <xf numFmtId="0" fontId="4" fillId="12" borderId="81" xfId="0" applyFont="1" applyFill="1" applyBorder="1" applyAlignment="1" applyProtection="1">
      <alignment horizontal="center" vertical="center" wrapText="1"/>
      <protection locked="0"/>
    </xf>
    <xf numFmtId="0" fontId="3" fillId="12" borderId="2" xfId="0" applyFont="1" applyFill="1" applyBorder="1" applyAlignment="1" applyProtection="1">
      <alignment horizontal="center" vertical="center" wrapText="1"/>
      <protection hidden="1"/>
    </xf>
    <xf numFmtId="178" fontId="7" fillId="12" borderId="69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>
      <alignment vertical="center"/>
    </xf>
    <xf numFmtId="3" fontId="4" fillId="12" borderId="16" xfId="0" applyNumberFormat="1" applyFont="1" applyFill="1" applyBorder="1" applyAlignment="1" applyProtection="1">
      <alignment horizontal="center" vertical="center" wrapText="1"/>
      <protection hidden="1"/>
    </xf>
    <xf numFmtId="0" fontId="4" fillId="14" borderId="82" xfId="0" applyFont="1" applyFill="1" applyBorder="1" applyAlignment="1" applyProtection="1">
      <alignment horizontal="center" vertical="center" wrapText="1"/>
      <protection hidden="1"/>
    </xf>
    <xf numFmtId="0" fontId="4" fillId="14" borderId="83" xfId="0" applyFont="1" applyFill="1" applyBorder="1" applyAlignment="1" applyProtection="1">
      <alignment horizontal="center" vertical="center" wrapText="1"/>
      <protection hidden="1"/>
    </xf>
    <xf numFmtId="0" fontId="0" fillId="15" borderId="84" xfId="0" applyFill="1" applyBorder="1" applyAlignment="1" applyProtection="1">
      <alignment horizontal="center" vertical="center"/>
      <protection hidden="1"/>
    </xf>
    <xf numFmtId="0" fontId="0" fillId="2" borderId="64" xfId="0" applyFill="1" applyBorder="1" applyAlignment="1" applyProtection="1">
      <alignment horizontal="center" vertical="center"/>
      <protection hidden="1"/>
    </xf>
    <xf numFmtId="0" fontId="0" fillId="2" borderId="65" xfId="0" applyFill="1" applyBorder="1" applyAlignment="1" applyProtection="1">
      <alignment horizontal="center" vertical="center"/>
      <protection hidden="1"/>
    </xf>
    <xf numFmtId="0" fontId="0" fillId="2" borderId="66" xfId="0" applyFill="1" applyBorder="1" applyAlignment="1" applyProtection="1">
      <alignment horizontal="center" vertical="center"/>
      <protection hidden="1"/>
    </xf>
    <xf numFmtId="176" fontId="3" fillId="6" borderId="85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6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7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8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9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90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18" xfId="0" applyFont="1" applyFill="1" applyBorder="1" applyAlignment="1" applyProtection="1">
      <alignment horizontal="center" vertical="center" wrapText="1"/>
      <protection hidden="1"/>
    </xf>
    <xf numFmtId="176" fontId="3" fillId="6" borderId="50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91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0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4" xfId="0" applyNumberFormat="1" applyFont="1" applyFill="1" applyBorder="1" applyAlignment="1" applyProtection="1">
      <alignment horizontal="center" vertical="center" wrapText="1"/>
      <protection hidden="1"/>
    </xf>
    <xf numFmtId="0" fontId="0" fillId="4" borderId="94" xfId="0" applyFill="1" applyBorder="1" applyProtection="1">
      <alignment vertical="center"/>
      <protection hidden="1"/>
    </xf>
    <xf numFmtId="0" fontId="0" fillId="4" borderId="95" xfId="0" applyFill="1" applyBorder="1" applyProtection="1">
      <alignment vertical="center"/>
      <protection hidden="1"/>
    </xf>
    <xf numFmtId="0" fontId="0" fillId="4" borderId="96" xfId="0" applyFill="1" applyBorder="1" applyProtection="1">
      <alignment vertical="center"/>
      <protection hidden="1"/>
    </xf>
    <xf numFmtId="0" fontId="3" fillId="16" borderId="43" xfId="0" applyFont="1" applyFill="1" applyBorder="1" applyAlignment="1">
      <alignment horizontal="center" vertical="center" wrapText="1"/>
    </xf>
    <xf numFmtId="0" fontId="3" fillId="16" borderId="98" xfId="0" applyFont="1" applyFill="1" applyBorder="1" applyAlignment="1">
      <alignment horizontal="center"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35" xfId="0" applyFont="1" applyFill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0" fontId="3" fillId="16" borderId="36" xfId="0" applyFont="1" applyFill="1" applyBorder="1" applyAlignment="1">
      <alignment horizontal="center" vertical="center" wrapText="1"/>
    </xf>
    <xf numFmtId="0" fontId="0" fillId="2" borderId="99" xfId="0" applyFill="1" applyBorder="1" applyAlignment="1" applyProtection="1">
      <alignment horizontal="center" vertical="center" shrinkToFit="1"/>
      <protection hidden="1"/>
    </xf>
    <xf numFmtId="0" fontId="0" fillId="2" borderId="99" xfId="0" applyFill="1" applyBorder="1" applyAlignment="1" applyProtection="1">
      <alignment horizontal="center" vertical="center"/>
      <protection hidden="1"/>
    </xf>
    <xf numFmtId="0" fontId="0" fillId="2" borderId="100" xfId="0" applyFill="1" applyBorder="1" applyAlignment="1" applyProtection="1">
      <alignment horizontal="center" vertical="center"/>
      <protection hidden="1"/>
    </xf>
    <xf numFmtId="0" fontId="0" fillId="2" borderId="101" xfId="0" applyFill="1" applyBorder="1" applyAlignment="1" applyProtection="1">
      <alignment horizontal="center" vertical="center"/>
      <protection hidden="1"/>
    </xf>
    <xf numFmtId="0" fontId="0" fillId="2" borderId="102" xfId="0" applyFill="1" applyBorder="1" applyAlignment="1" applyProtection="1">
      <alignment horizontal="center" vertical="center"/>
      <protection hidden="1"/>
    </xf>
    <xf numFmtId="0" fontId="0" fillId="2" borderId="103" xfId="0" applyFill="1" applyBorder="1" applyAlignment="1" applyProtection="1">
      <alignment horizontal="center" vertical="center"/>
      <protection hidden="1"/>
    </xf>
    <xf numFmtId="0" fontId="0" fillId="2" borderId="104" xfId="0" applyFill="1" applyBorder="1" applyAlignment="1" applyProtection="1">
      <alignment horizontal="center" vertical="center"/>
      <protection hidden="1"/>
    </xf>
    <xf numFmtId="0" fontId="0" fillId="4" borderId="105" xfId="0" applyFill="1" applyBorder="1" applyAlignment="1" applyProtection="1">
      <alignment horizontal="center" vertical="center"/>
      <protection hidden="1"/>
    </xf>
    <xf numFmtId="0" fontId="2" fillId="12" borderId="212" xfId="0" applyFont="1" applyFill="1" applyBorder="1" applyAlignment="1" applyProtection="1">
      <alignment horizontal="center" vertical="center"/>
      <protection hidden="1"/>
    </xf>
    <xf numFmtId="0" fontId="2" fillId="12" borderId="90" xfId="0" applyFont="1" applyFill="1" applyBorder="1" applyAlignment="1" applyProtection="1">
      <alignment horizontal="center" vertical="center"/>
      <protection hidden="1"/>
    </xf>
    <xf numFmtId="0" fontId="4" fillId="11" borderId="216" xfId="0" applyFont="1" applyFill="1" applyBorder="1" applyAlignment="1" applyProtection="1">
      <alignment horizontal="center" vertical="center"/>
      <protection hidden="1"/>
    </xf>
    <xf numFmtId="0" fontId="2" fillId="12" borderId="217" xfId="0" applyFont="1" applyFill="1" applyBorder="1" applyAlignment="1" applyProtection="1">
      <alignment horizontal="center" vertical="center"/>
      <protection hidden="1"/>
    </xf>
    <xf numFmtId="176" fontId="4" fillId="10" borderId="138" xfId="0" applyNumberFormat="1" applyFont="1" applyFill="1" applyBorder="1" applyAlignment="1" applyProtection="1">
      <alignment horizontal="center" vertical="center" wrapText="1"/>
      <protection hidden="1"/>
    </xf>
    <xf numFmtId="0" fontId="0" fillId="4" borderId="80" xfId="0" applyFill="1" applyBorder="1">
      <alignment vertical="center"/>
    </xf>
    <xf numFmtId="0" fontId="0" fillId="4" borderId="150" xfId="0" applyFill="1" applyBorder="1" applyProtection="1">
      <alignment vertical="center"/>
      <protection hidden="1"/>
    </xf>
    <xf numFmtId="41" fontId="2" fillId="4" borderId="219" xfId="0" applyNumberFormat="1" applyFont="1" applyFill="1" applyBorder="1" applyAlignment="1" applyProtection="1">
      <alignment horizontal="center" vertical="center"/>
      <protection hidden="1"/>
    </xf>
    <xf numFmtId="176" fontId="2" fillId="12" borderId="217" xfId="0" applyNumberFormat="1" applyFont="1" applyFill="1" applyBorder="1" applyAlignment="1" applyProtection="1">
      <alignment horizontal="center" vertical="center"/>
      <protection hidden="1"/>
    </xf>
    <xf numFmtId="0" fontId="2" fillId="19" borderId="211" xfId="0" applyFont="1" applyFill="1" applyBorder="1" applyAlignment="1" applyProtection="1">
      <alignment horizontal="center" vertical="center"/>
      <protection hidden="1"/>
    </xf>
    <xf numFmtId="0" fontId="2" fillId="19" borderId="89" xfId="0" applyFont="1" applyFill="1" applyBorder="1" applyAlignment="1" applyProtection="1">
      <alignment horizontal="center" vertical="center"/>
      <protection hidden="1"/>
    </xf>
    <xf numFmtId="0" fontId="4" fillId="7" borderId="16" xfId="0" applyFont="1" applyFill="1" applyBorder="1" applyAlignment="1" applyProtection="1">
      <alignment horizontal="center" vertical="center" wrapText="1"/>
      <protection hidden="1"/>
    </xf>
    <xf numFmtId="0" fontId="0" fillId="4" borderId="220" xfId="0" applyFill="1" applyBorder="1" applyAlignment="1" applyProtection="1">
      <alignment horizontal="center" vertical="center"/>
      <protection hidden="1"/>
    </xf>
    <xf numFmtId="177" fontId="0" fillId="4" borderId="150" xfId="0" applyNumberFormat="1" applyFill="1" applyBorder="1" applyAlignment="1" applyProtection="1">
      <alignment horizontal="center" vertical="center"/>
      <protection hidden="1"/>
    </xf>
    <xf numFmtId="0" fontId="3" fillId="12" borderId="194" xfId="0" applyFont="1" applyFill="1" applyBorder="1" applyAlignment="1" applyProtection="1">
      <alignment horizontal="center" vertical="center" wrapText="1"/>
      <protection hidden="1"/>
    </xf>
    <xf numFmtId="0" fontId="4" fillId="7" borderId="111" xfId="0" applyFont="1" applyFill="1" applyBorder="1" applyAlignment="1" applyProtection="1">
      <alignment horizontal="center" vertical="center" wrapText="1"/>
      <protection hidden="1"/>
    </xf>
    <xf numFmtId="0" fontId="3" fillId="12" borderId="166" xfId="0" applyFont="1" applyFill="1" applyBorder="1" applyAlignment="1" applyProtection="1">
      <alignment horizontal="center" vertical="center" wrapText="1"/>
      <protection hidden="1"/>
    </xf>
    <xf numFmtId="0" fontId="3" fillId="12" borderId="161" xfId="0" applyFont="1" applyFill="1" applyBorder="1" applyAlignment="1" applyProtection="1">
      <alignment horizontal="center" vertical="center" wrapText="1"/>
      <protection hidden="1"/>
    </xf>
    <xf numFmtId="0" fontId="0" fillId="15" borderId="68" xfId="0" applyFill="1" applyBorder="1" applyAlignment="1" applyProtection="1">
      <alignment horizontal="center" vertical="center"/>
      <protection hidden="1"/>
    </xf>
    <xf numFmtId="0" fontId="4" fillId="3" borderId="233" xfId="0" applyFont="1" applyFill="1" applyBorder="1" applyAlignment="1" applyProtection="1">
      <alignment horizontal="center" vertical="center" wrapText="1"/>
      <protection hidden="1"/>
    </xf>
    <xf numFmtId="0" fontId="3" fillId="12" borderId="198" xfId="0" applyFont="1" applyFill="1" applyBorder="1" applyAlignment="1" applyProtection="1">
      <alignment horizontal="center" vertical="center" wrapText="1"/>
      <protection hidden="1"/>
    </xf>
    <xf numFmtId="0" fontId="3" fillId="12" borderId="237" xfId="0" applyFont="1" applyFill="1" applyBorder="1" applyAlignment="1" applyProtection="1">
      <alignment horizontal="center" vertical="center" wrapText="1"/>
      <protection hidden="1"/>
    </xf>
    <xf numFmtId="0" fontId="3" fillId="12" borderId="240" xfId="0" applyFont="1" applyFill="1" applyBorder="1" applyAlignment="1" applyProtection="1">
      <alignment horizontal="center" vertical="center" wrapText="1"/>
      <protection hidden="1"/>
    </xf>
    <xf numFmtId="0" fontId="3" fillId="0" borderId="224" xfId="0" applyFont="1" applyBorder="1" applyAlignment="1" applyProtection="1">
      <alignment horizontal="center" vertical="center" wrapText="1"/>
      <protection locked="0"/>
    </xf>
    <xf numFmtId="0" fontId="3" fillId="0" borderId="225" xfId="0" applyFont="1" applyBorder="1" applyAlignment="1" applyProtection="1">
      <alignment horizontal="center" vertical="center" wrapText="1"/>
      <protection locked="0"/>
    </xf>
    <xf numFmtId="0" fontId="3" fillId="0" borderId="226" xfId="0" applyFont="1" applyBorder="1" applyAlignment="1" applyProtection="1">
      <alignment horizontal="center" vertical="center" wrapText="1"/>
      <protection locked="0"/>
    </xf>
    <xf numFmtId="0" fontId="3" fillId="0" borderId="227" xfId="0" applyFont="1" applyBorder="1" applyAlignment="1" applyProtection="1">
      <alignment horizontal="center" vertical="center" wrapText="1"/>
      <protection locked="0"/>
    </xf>
    <xf numFmtId="0" fontId="3" fillId="0" borderId="228" xfId="0" applyFont="1" applyBorder="1" applyAlignment="1" applyProtection="1">
      <alignment horizontal="center" vertical="center" wrapText="1"/>
      <protection locked="0"/>
    </xf>
    <xf numFmtId="0" fontId="3" fillId="0" borderId="229" xfId="0" applyFont="1" applyBorder="1" applyAlignment="1" applyProtection="1">
      <alignment horizontal="center" vertical="center" wrapText="1"/>
      <protection locked="0"/>
    </xf>
    <xf numFmtId="0" fontId="3" fillId="0" borderId="230" xfId="0" applyFont="1" applyBorder="1" applyAlignment="1" applyProtection="1">
      <alignment horizontal="center" vertical="center" wrapText="1"/>
      <protection locked="0"/>
    </xf>
    <xf numFmtId="0" fontId="3" fillId="0" borderId="231" xfId="0" applyFont="1" applyBorder="1" applyAlignment="1" applyProtection="1">
      <alignment horizontal="center" vertical="center" wrapText="1"/>
      <protection locked="0"/>
    </xf>
    <xf numFmtId="0" fontId="3" fillId="0" borderId="111" xfId="0" applyFont="1" applyBorder="1" applyAlignment="1" applyProtection="1">
      <alignment horizontal="center" vertical="center" wrapText="1"/>
      <protection locked="0"/>
    </xf>
    <xf numFmtId="0" fontId="3" fillId="0" borderId="232" xfId="0" applyFont="1" applyBorder="1" applyAlignment="1" applyProtection="1">
      <alignment horizontal="center" vertical="center" wrapText="1"/>
      <protection locked="0"/>
    </xf>
    <xf numFmtId="0" fontId="3" fillId="0" borderId="199" xfId="0" applyFont="1" applyBorder="1" applyAlignment="1" applyProtection="1">
      <alignment horizontal="center" vertical="center" wrapText="1"/>
      <protection locked="0"/>
    </xf>
    <xf numFmtId="0" fontId="3" fillId="0" borderId="234" xfId="0" applyFont="1" applyBorder="1" applyAlignment="1" applyProtection="1">
      <alignment horizontal="center" vertical="center" wrapText="1"/>
      <protection locked="0"/>
    </xf>
    <xf numFmtId="0" fontId="3" fillId="8" borderId="229" xfId="0" applyFont="1" applyFill="1" applyBorder="1" applyAlignment="1" applyProtection="1">
      <alignment horizontal="center" vertical="center" wrapText="1"/>
      <protection locked="0"/>
    </xf>
    <xf numFmtId="0" fontId="3" fillId="16" borderId="236" xfId="0" applyFont="1" applyFill="1" applyBorder="1" applyAlignment="1">
      <alignment horizontal="center" vertical="center" wrapText="1"/>
    </xf>
    <xf numFmtId="0" fontId="3" fillId="16" borderId="229" xfId="0" applyFont="1" applyFill="1" applyBorder="1" applyAlignment="1">
      <alignment horizontal="center" vertical="center" wrapText="1"/>
    </xf>
    <xf numFmtId="0" fontId="3" fillId="16" borderId="230" xfId="0" applyFont="1" applyFill="1" applyBorder="1" applyAlignment="1">
      <alignment horizontal="center" vertical="center" wrapText="1"/>
    </xf>
    <xf numFmtId="176" fontId="3" fillId="6" borderId="246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247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248" xfId="0" applyNumberFormat="1" applyFont="1" applyFill="1" applyBorder="1" applyAlignment="1" applyProtection="1">
      <alignment horizontal="center" vertical="center" wrapText="1"/>
      <protection hidden="1"/>
    </xf>
    <xf numFmtId="0" fontId="0" fillId="15" borderId="249" xfId="0" applyFill="1" applyBorder="1" applyAlignment="1" applyProtection="1">
      <alignment horizontal="center" vertical="center"/>
      <protection hidden="1"/>
    </xf>
    <xf numFmtId="176" fontId="3" fillId="6" borderId="250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251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2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4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5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6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7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8" xfId="0" applyNumberFormat="1" applyFont="1" applyFill="1" applyBorder="1" applyAlignment="1" applyProtection="1">
      <alignment horizontal="center" vertical="center" wrapText="1"/>
      <protection hidden="1"/>
    </xf>
    <xf numFmtId="0" fontId="4" fillId="9" borderId="199" xfId="0" applyFont="1" applyFill="1" applyBorder="1" applyAlignment="1" applyProtection="1">
      <alignment horizontal="center" vertical="center" wrapText="1"/>
      <protection locked="0"/>
    </xf>
    <xf numFmtId="0" fontId="4" fillId="12" borderId="262" xfId="0" applyFont="1" applyFill="1" applyBorder="1" applyAlignment="1" applyProtection="1">
      <alignment horizontal="center" vertical="center" wrapText="1"/>
      <protection locked="0"/>
    </xf>
    <xf numFmtId="0" fontId="3" fillId="0" borderId="263" xfId="0" applyFont="1" applyBorder="1" applyAlignment="1" applyProtection="1">
      <alignment horizontal="center" vertical="center" wrapText="1"/>
      <protection locked="0"/>
    </xf>
    <xf numFmtId="0" fontId="3" fillId="0" borderId="106" xfId="0" applyFont="1" applyBorder="1" applyAlignment="1" applyProtection="1">
      <alignment horizontal="center" vertical="center" wrapText="1"/>
      <protection locked="0"/>
    </xf>
    <xf numFmtId="0" fontId="3" fillId="0" borderId="107" xfId="0" applyFont="1" applyBorder="1" applyAlignment="1" applyProtection="1">
      <alignment horizontal="center" vertical="center" wrapText="1"/>
      <protection locked="0"/>
    </xf>
    <xf numFmtId="0" fontId="3" fillId="0" borderId="108" xfId="0" applyFont="1" applyBorder="1" applyAlignment="1" applyProtection="1">
      <alignment horizontal="center" vertical="center" wrapText="1"/>
      <protection locked="0"/>
    </xf>
    <xf numFmtId="0" fontId="3" fillId="0" borderId="264" xfId="0" applyFont="1" applyBorder="1" applyAlignment="1" applyProtection="1">
      <alignment horizontal="center" vertical="center" wrapText="1"/>
      <protection locked="0"/>
    </xf>
    <xf numFmtId="0" fontId="3" fillId="0" borderId="265" xfId="0" applyFont="1" applyBorder="1" applyAlignment="1" applyProtection="1">
      <alignment horizontal="center" vertical="center" wrapText="1"/>
      <protection locked="0"/>
    </xf>
    <xf numFmtId="0" fontId="3" fillId="0" borderId="266" xfId="0" applyFont="1" applyBorder="1" applyAlignment="1" applyProtection="1">
      <alignment horizontal="center" vertical="center" wrapText="1"/>
      <protection locked="0"/>
    </xf>
    <xf numFmtId="0" fontId="3" fillId="0" borderId="267" xfId="0" applyFont="1" applyBorder="1" applyAlignment="1" applyProtection="1">
      <alignment horizontal="center" vertical="center" wrapText="1"/>
      <protection locked="0"/>
    </xf>
    <xf numFmtId="0" fontId="3" fillId="0" borderId="268" xfId="0" applyFont="1" applyBorder="1" applyAlignment="1" applyProtection="1">
      <alignment horizontal="center" vertical="center" wrapText="1"/>
      <protection locked="0"/>
    </xf>
    <xf numFmtId="0" fontId="3" fillId="0" borderId="269" xfId="0" applyFont="1" applyBorder="1" applyAlignment="1" applyProtection="1">
      <alignment horizontal="center" vertical="center" wrapText="1"/>
      <protection locked="0"/>
    </xf>
    <xf numFmtId="0" fontId="4" fillId="3" borderId="270" xfId="0" applyFont="1" applyFill="1" applyBorder="1" applyAlignment="1" applyProtection="1">
      <alignment horizontal="center" vertical="center" wrapText="1"/>
      <protection hidden="1"/>
    </xf>
    <xf numFmtId="0" fontId="3" fillId="0" borderId="262" xfId="0" applyFont="1" applyBorder="1" applyAlignment="1" applyProtection="1">
      <alignment horizontal="center" vertical="center" wrapText="1"/>
      <protection locked="0"/>
    </xf>
    <xf numFmtId="0" fontId="3" fillId="0" borderId="271" xfId="0" applyFont="1" applyBorder="1" applyAlignment="1" applyProtection="1">
      <alignment horizontal="center" vertical="center" wrapText="1"/>
      <protection locked="0"/>
    </xf>
    <xf numFmtId="0" fontId="3" fillId="8" borderId="265" xfId="0" applyFont="1" applyFill="1" applyBorder="1" applyAlignment="1" applyProtection="1">
      <alignment horizontal="center" vertical="center" wrapText="1"/>
      <protection locked="0"/>
    </xf>
    <xf numFmtId="0" fontId="3" fillId="16" borderId="272" xfId="0" applyFont="1" applyFill="1" applyBorder="1" applyAlignment="1">
      <alignment horizontal="center" vertical="center" wrapText="1"/>
    </xf>
    <xf numFmtId="0" fontId="3" fillId="16" borderId="265" xfId="0" applyFont="1" applyFill="1" applyBorder="1" applyAlignment="1">
      <alignment horizontal="center" vertical="center" wrapText="1"/>
    </xf>
    <xf numFmtId="0" fontId="3" fillId="16" borderId="266" xfId="0" applyFont="1" applyFill="1" applyBorder="1" applyAlignment="1">
      <alignment horizontal="center" vertical="center" wrapText="1"/>
    </xf>
    <xf numFmtId="176" fontId="4" fillId="12" borderId="268" xfId="0" applyNumberFormat="1" applyFont="1" applyFill="1" applyBorder="1" applyAlignment="1" applyProtection="1">
      <alignment horizontal="center" vertical="center" wrapText="1"/>
      <protection hidden="1"/>
    </xf>
    <xf numFmtId="0" fontId="4" fillId="14" borderId="273" xfId="0" applyFont="1" applyFill="1" applyBorder="1" applyAlignment="1" applyProtection="1">
      <alignment horizontal="center" vertical="center" wrapText="1"/>
      <protection hidden="1"/>
    </xf>
    <xf numFmtId="0" fontId="4" fillId="12" borderId="277" xfId="0" applyFont="1" applyFill="1" applyBorder="1" applyAlignment="1" applyProtection="1">
      <alignment horizontal="center" vertical="center" wrapText="1"/>
      <protection locked="0"/>
    </xf>
    <xf numFmtId="0" fontId="4" fillId="12" borderId="278" xfId="0" applyFont="1" applyFill="1" applyBorder="1" applyAlignment="1" applyProtection="1">
      <alignment horizontal="center" vertical="center" wrapText="1"/>
      <protection locked="0"/>
    </xf>
    <xf numFmtId="0" fontId="3" fillId="8" borderId="279" xfId="0" applyFont="1" applyFill="1" applyBorder="1" applyAlignment="1" applyProtection="1">
      <alignment horizontal="center" vertical="center" wrapText="1"/>
      <protection locked="0"/>
    </xf>
    <xf numFmtId="0" fontId="3" fillId="0" borderId="280" xfId="0" applyFont="1" applyBorder="1" applyAlignment="1" applyProtection="1">
      <alignment horizontal="center" vertical="center" wrapText="1"/>
      <protection locked="0"/>
    </xf>
    <xf numFmtId="0" fontId="3" fillId="0" borderId="281" xfId="0" applyFont="1" applyBorder="1" applyAlignment="1" applyProtection="1">
      <alignment horizontal="center" vertical="center" wrapText="1"/>
      <protection locked="0"/>
    </xf>
    <xf numFmtId="0" fontId="3" fillId="0" borderId="282" xfId="0" applyFont="1" applyBorder="1" applyAlignment="1" applyProtection="1">
      <alignment horizontal="center" vertical="center" wrapText="1"/>
      <protection locked="0"/>
    </xf>
    <xf numFmtId="0" fontId="3" fillId="0" borderId="283" xfId="0" applyFont="1" applyBorder="1" applyAlignment="1" applyProtection="1">
      <alignment horizontal="center" vertical="center" wrapText="1"/>
      <protection locked="0"/>
    </xf>
    <xf numFmtId="0" fontId="3" fillId="0" borderId="284" xfId="0" applyFont="1" applyBorder="1" applyAlignment="1" applyProtection="1">
      <alignment horizontal="center" vertical="center" wrapText="1"/>
      <protection locked="0"/>
    </xf>
    <xf numFmtId="0" fontId="3" fillId="0" borderId="285" xfId="0" applyFont="1" applyBorder="1" applyAlignment="1" applyProtection="1">
      <alignment horizontal="center" vertical="center" wrapText="1"/>
      <protection locked="0"/>
    </xf>
    <xf numFmtId="0" fontId="3" fillId="0" borderId="286" xfId="0" applyFont="1" applyBorder="1" applyAlignment="1" applyProtection="1">
      <alignment horizontal="center" vertical="center" wrapText="1"/>
      <protection locked="0"/>
    </xf>
    <xf numFmtId="0" fontId="3" fillId="0" borderId="279" xfId="0" applyFont="1" applyBorder="1" applyAlignment="1" applyProtection="1">
      <alignment horizontal="center" vertical="center" wrapText="1"/>
      <protection locked="0"/>
    </xf>
    <xf numFmtId="0" fontId="3" fillId="0" borderId="287" xfId="0" applyFont="1" applyBorder="1" applyAlignment="1" applyProtection="1">
      <alignment horizontal="center" vertical="center" wrapText="1"/>
      <protection locked="0"/>
    </xf>
    <xf numFmtId="0" fontId="3" fillId="0" borderId="288" xfId="0" applyFont="1" applyBorder="1" applyAlignment="1" applyProtection="1">
      <alignment horizontal="center" vertical="center" wrapText="1"/>
      <protection locked="0"/>
    </xf>
    <xf numFmtId="0" fontId="3" fillId="0" borderId="289" xfId="0" applyFont="1" applyBorder="1" applyAlignment="1" applyProtection="1">
      <alignment horizontal="center" vertical="center" wrapText="1"/>
      <protection locked="0"/>
    </xf>
    <xf numFmtId="0" fontId="3" fillId="0" borderId="290" xfId="0" applyFont="1" applyBorder="1" applyAlignment="1" applyProtection="1">
      <alignment horizontal="center" vertical="center" wrapText="1"/>
      <protection locked="0"/>
    </xf>
    <xf numFmtId="0" fontId="3" fillId="0" borderId="291" xfId="0" applyFont="1" applyBorder="1" applyAlignment="1" applyProtection="1">
      <alignment horizontal="center" vertical="center" wrapText="1"/>
      <protection locked="0"/>
    </xf>
    <xf numFmtId="0" fontId="3" fillId="0" borderId="292" xfId="0" applyFont="1" applyBorder="1" applyAlignment="1" applyProtection="1">
      <alignment horizontal="center" vertical="center" wrapText="1"/>
      <protection locked="0"/>
    </xf>
    <xf numFmtId="0" fontId="3" fillId="0" borderId="293" xfId="0" applyFont="1" applyBorder="1" applyAlignment="1" applyProtection="1">
      <alignment horizontal="center" vertical="center" wrapText="1"/>
      <protection locked="0"/>
    </xf>
    <xf numFmtId="0" fontId="3" fillId="0" borderId="294" xfId="0" applyFont="1" applyBorder="1" applyAlignment="1" applyProtection="1">
      <alignment horizontal="center" vertical="center" wrapText="1"/>
      <protection locked="0"/>
    </xf>
    <xf numFmtId="0" fontId="3" fillId="0" borderId="209" xfId="0" applyFont="1" applyBorder="1" applyAlignment="1" applyProtection="1">
      <alignment horizontal="center" vertical="center" wrapText="1"/>
      <protection locked="0"/>
    </xf>
    <xf numFmtId="0" fontId="3" fillId="0" borderId="295" xfId="0" applyFont="1" applyBorder="1" applyAlignment="1" applyProtection="1">
      <alignment horizontal="center" vertical="center" wrapText="1"/>
      <protection locked="0"/>
    </xf>
    <xf numFmtId="0" fontId="3" fillId="0" borderId="296" xfId="0" applyFont="1" applyBorder="1" applyAlignment="1" applyProtection="1">
      <alignment horizontal="center" vertical="center" wrapText="1"/>
      <protection locked="0"/>
    </xf>
    <xf numFmtId="0" fontId="3" fillId="0" borderId="297" xfId="0" applyFont="1" applyBorder="1" applyAlignment="1" applyProtection="1">
      <alignment horizontal="center" vertical="center" wrapText="1"/>
      <protection locked="0"/>
    </xf>
    <xf numFmtId="0" fontId="4" fillId="3" borderId="298" xfId="0" applyFont="1" applyFill="1" applyBorder="1" applyAlignment="1" applyProtection="1">
      <alignment horizontal="center" vertical="center" wrapText="1"/>
      <protection hidden="1"/>
    </xf>
    <xf numFmtId="0" fontId="4" fillId="3" borderId="299" xfId="0" applyFont="1" applyFill="1" applyBorder="1" applyAlignment="1" applyProtection="1">
      <alignment horizontal="center" vertical="center" wrapText="1"/>
      <protection hidden="1"/>
    </xf>
    <xf numFmtId="0" fontId="3" fillId="0" borderId="300" xfId="0" applyFont="1" applyBorder="1" applyAlignment="1" applyProtection="1">
      <alignment horizontal="center" vertical="center" wrapText="1"/>
      <protection locked="0"/>
    </xf>
    <xf numFmtId="0" fontId="3" fillId="0" borderId="301" xfId="0" applyFont="1" applyBorder="1" applyAlignment="1" applyProtection="1">
      <alignment horizontal="center" vertical="center" wrapText="1"/>
      <protection locked="0"/>
    </xf>
    <xf numFmtId="0" fontId="3" fillId="0" borderId="302" xfId="0" applyFont="1" applyBorder="1" applyAlignment="1" applyProtection="1">
      <alignment horizontal="center" vertical="center" wrapText="1"/>
      <protection locked="0"/>
    </xf>
    <xf numFmtId="0" fontId="3" fillId="0" borderId="303" xfId="0" applyFont="1" applyBorder="1" applyAlignment="1" applyProtection="1">
      <alignment horizontal="center" vertical="center" wrapText="1"/>
      <protection locked="0"/>
    </xf>
    <xf numFmtId="0" fontId="3" fillId="8" borderId="289" xfId="0" applyFont="1" applyFill="1" applyBorder="1" applyAlignment="1" applyProtection="1">
      <alignment horizontal="center" vertical="center" wrapText="1"/>
      <protection locked="0"/>
    </xf>
    <xf numFmtId="0" fontId="3" fillId="8" borderId="290" xfId="0" applyFont="1" applyFill="1" applyBorder="1" applyAlignment="1" applyProtection="1">
      <alignment horizontal="center" vertical="center" wrapText="1"/>
      <protection locked="0"/>
    </xf>
    <xf numFmtId="0" fontId="3" fillId="16" borderId="307" xfId="0" applyFont="1" applyFill="1" applyBorder="1" applyAlignment="1">
      <alignment horizontal="center" vertical="center" wrapText="1"/>
    </xf>
    <xf numFmtId="0" fontId="3" fillId="16" borderId="308" xfId="0" applyFont="1" applyFill="1" applyBorder="1" applyAlignment="1">
      <alignment horizontal="center" vertical="center" wrapText="1"/>
    </xf>
    <xf numFmtId="0" fontId="3" fillId="16" borderId="289" xfId="0" applyFont="1" applyFill="1" applyBorder="1" applyAlignment="1">
      <alignment horizontal="center" vertical="center" wrapText="1"/>
    </xf>
    <xf numFmtId="0" fontId="3" fillId="16" borderId="290" xfId="0" applyFont="1" applyFill="1" applyBorder="1" applyAlignment="1">
      <alignment horizontal="center" vertical="center" wrapText="1"/>
    </xf>
    <xf numFmtId="0" fontId="3" fillId="16" borderId="291" xfId="0" applyFont="1" applyFill="1" applyBorder="1" applyAlignment="1">
      <alignment horizontal="center" vertical="center" wrapText="1"/>
    </xf>
    <xf numFmtId="0" fontId="3" fillId="16" borderId="292" xfId="0" applyFont="1" applyFill="1" applyBorder="1" applyAlignment="1">
      <alignment horizontal="center" vertical="center" wrapText="1"/>
    </xf>
    <xf numFmtId="176" fontId="4" fillId="12" borderId="309" xfId="0" applyNumberFormat="1" applyFont="1" applyFill="1" applyBorder="1" applyAlignment="1" applyProtection="1">
      <alignment horizontal="center" vertical="center" wrapText="1"/>
      <protection hidden="1"/>
    </xf>
    <xf numFmtId="176" fontId="4" fillId="12" borderId="295" xfId="0" applyNumberFormat="1" applyFont="1" applyFill="1" applyBorder="1" applyAlignment="1" applyProtection="1">
      <alignment horizontal="center" vertical="center" wrapText="1"/>
      <protection hidden="1"/>
    </xf>
    <xf numFmtId="0" fontId="4" fillId="14" borderId="310" xfId="0" applyFont="1" applyFill="1" applyBorder="1" applyAlignment="1" applyProtection="1">
      <alignment horizontal="center" vertical="center" wrapText="1"/>
      <protection hidden="1"/>
    </xf>
    <xf numFmtId="0" fontId="4" fillId="14" borderId="311" xfId="0" applyFont="1" applyFill="1" applyBorder="1" applyAlignment="1" applyProtection="1">
      <alignment horizontal="center" vertical="center" wrapText="1"/>
      <protection hidden="1"/>
    </xf>
    <xf numFmtId="0" fontId="3" fillId="12" borderId="312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locked="0"/>
    </xf>
    <xf numFmtId="0" fontId="2" fillId="19" borderId="315" xfId="0" applyFont="1" applyFill="1" applyBorder="1" applyAlignment="1" applyProtection="1">
      <alignment horizontal="center" vertical="center"/>
      <protection hidden="1"/>
    </xf>
    <xf numFmtId="0" fontId="2" fillId="12" borderId="316" xfId="0" applyFont="1" applyFill="1" applyBorder="1" applyAlignment="1" applyProtection="1">
      <alignment horizontal="center" vertical="center"/>
      <protection hidden="1"/>
    </xf>
    <xf numFmtId="0" fontId="2" fillId="12" borderId="319" xfId="0" applyFont="1" applyFill="1" applyBorder="1" applyAlignment="1" applyProtection="1">
      <alignment horizontal="center" vertical="center"/>
      <protection hidden="1"/>
    </xf>
    <xf numFmtId="176" fontId="4" fillId="12" borderId="0" xfId="0" applyNumberFormat="1" applyFont="1" applyFill="1" applyAlignment="1" applyProtection="1">
      <alignment horizontal="center" vertical="center" wrapText="1"/>
      <protection hidden="1"/>
    </xf>
    <xf numFmtId="0" fontId="6" fillId="0" borderId="0" xfId="3" applyFont="1" applyProtection="1">
      <alignment vertical="center"/>
      <protection locked="0"/>
    </xf>
    <xf numFmtId="0" fontId="6" fillId="0" borderId="0" xfId="3" applyFont="1" applyAlignment="1" applyProtection="1">
      <alignment horizontal="center" vertical="center"/>
      <protection locked="0"/>
    </xf>
    <xf numFmtId="0" fontId="1" fillId="0" borderId="0" xfId="3">
      <alignment vertical="center"/>
    </xf>
    <xf numFmtId="0" fontId="1" fillId="0" borderId="0" xfId="3" applyProtection="1">
      <alignment vertical="center"/>
      <protection locked="0"/>
    </xf>
    <xf numFmtId="0" fontId="1" fillId="0" borderId="0" xfId="3" applyAlignment="1" applyProtection="1">
      <alignment horizontal="center" vertical="center"/>
      <protection locked="0"/>
    </xf>
    <xf numFmtId="0" fontId="1" fillId="0" borderId="0" xfId="3" applyAlignment="1">
      <alignment horizontal="center" vertical="center"/>
    </xf>
    <xf numFmtId="0" fontId="15" fillId="9" borderId="199" xfId="3" applyFont="1" applyFill="1" applyBorder="1" applyAlignment="1" applyProtection="1">
      <alignment horizontal="center" vertical="center" wrapText="1"/>
      <protection hidden="1"/>
    </xf>
    <xf numFmtId="0" fontId="15" fillId="12" borderId="21" xfId="3" applyFont="1" applyFill="1" applyBorder="1" applyAlignment="1" applyProtection="1">
      <alignment horizontal="center" vertical="center" wrapText="1"/>
      <protection hidden="1"/>
    </xf>
    <xf numFmtId="0" fontId="4" fillId="12" borderId="262" xfId="3" applyFont="1" applyFill="1" applyBorder="1" applyAlignment="1" applyProtection="1">
      <alignment horizontal="center" vertical="center" wrapText="1"/>
      <protection hidden="1"/>
    </xf>
    <xf numFmtId="0" fontId="4" fillId="12" borderId="80" xfId="3" applyFont="1" applyFill="1" applyBorder="1" applyAlignment="1" applyProtection="1">
      <alignment horizontal="center" vertical="center" wrapText="1"/>
      <protection hidden="1"/>
    </xf>
    <xf numFmtId="0" fontId="4" fillId="12" borderId="81" xfId="3" applyFont="1" applyFill="1" applyBorder="1" applyAlignment="1" applyProtection="1">
      <alignment horizontal="center" vertical="center" wrapText="1"/>
      <protection hidden="1"/>
    </xf>
    <xf numFmtId="0" fontId="4" fillId="12" borderId="277" xfId="3" applyFont="1" applyFill="1" applyBorder="1" applyAlignment="1" applyProtection="1">
      <alignment horizontal="center" vertical="center" wrapText="1"/>
      <protection hidden="1"/>
    </xf>
    <xf numFmtId="0" fontId="4" fillId="12" borderId="278" xfId="3" applyFont="1" applyFill="1" applyBorder="1" applyAlignment="1" applyProtection="1">
      <alignment horizontal="center" vertical="center" wrapText="1"/>
      <protection hidden="1"/>
    </xf>
    <xf numFmtId="0" fontId="2" fillId="0" borderId="0" xfId="3" applyFont="1">
      <alignment vertical="center"/>
    </xf>
    <xf numFmtId="0" fontId="3" fillId="22" borderId="2" xfId="3" applyFont="1" applyFill="1" applyBorder="1" applyAlignment="1" applyProtection="1">
      <alignment horizontal="center" vertical="center" wrapText="1"/>
      <protection hidden="1"/>
    </xf>
    <xf numFmtId="0" fontId="3" fillId="0" borderId="224" xfId="3" applyFont="1" applyBorder="1" applyAlignment="1" applyProtection="1">
      <alignment horizontal="center" vertical="center" wrapText="1"/>
      <protection locked="0"/>
    </xf>
    <xf numFmtId="0" fontId="3" fillId="0" borderId="2" xfId="3" applyFont="1" applyBorder="1" applyAlignment="1" applyProtection="1">
      <alignment horizontal="center" vertical="center" wrapText="1"/>
      <protection locked="0"/>
    </xf>
    <xf numFmtId="0" fontId="3" fillId="0" borderId="263" xfId="3" applyFont="1" applyBorder="1" applyAlignment="1" applyProtection="1">
      <alignment horizontal="center" vertical="center" wrapText="1"/>
      <protection locked="0"/>
    </xf>
    <xf numFmtId="0" fontId="3" fillId="0" borderId="14" xfId="3" applyFont="1" applyBorder="1" applyAlignment="1" applyProtection="1">
      <alignment horizontal="center" vertical="center" wrapText="1"/>
      <protection locked="0"/>
    </xf>
    <xf numFmtId="0" fontId="3" fillId="0" borderId="33" xfId="3" applyFont="1" applyBorder="1" applyAlignment="1" applyProtection="1">
      <alignment horizontal="center" vertical="center" wrapText="1"/>
      <protection locked="0"/>
    </xf>
    <xf numFmtId="0" fontId="3" fillId="8" borderId="279" xfId="3" applyFont="1" applyFill="1" applyBorder="1" applyAlignment="1" applyProtection="1">
      <alignment horizontal="center" vertical="center" wrapText="1"/>
      <protection locked="0"/>
    </xf>
    <xf numFmtId="0" fontId="3" fillId="0" borderId="280" xfId="3" applyFont="1" applyBorder="1" applyAlignment="1" applyProtection="1">
      <alignment horizontal="center" vertical="center" wrapText="1"/>
      <protection locked="0"/>
    </xf>
    <xf numFmtId="176" fontId="3" fillId="18" borderId="22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19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2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132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55" xfId="3" applyNumberFormat="1" applyFont="1" applyFill="1" applyBorder="1" applyAlignment="1" applyProtection="1">
      <alignment horizontal="center" vertical="center" wrapText="1"/>
      <protection hidden="1"/>
    </xf>
    <xf numFmtId="0" fontId="1" fillId="15" borderId="33" xfId="3" applyFill="1" applyBorder="1" applyAlignment="1" applyProtection="1">
      <alignment horizontal="center" vertical="center"/>
      <protection hidden="1"/>
    </xf>
    <xf numFmtId="0" fontId="1" fillId="2" borderId="62" xfId="3" applyFill="1" applyBorder="1" applyAlignment="1" applyProtection="1">
      <alignment horizontal="center" vertical="center" shrinkToFit="1"/>
      <protection hidden="1"/>
    </xf>
    <xf numFmtId="0" fontId="1" fillId="2" borderId="99" xfId="3" applyFill="1" applyBorder="1" applyAlignment="1" applyProtection="1">
      <alignment horizontal="center" vertical="center" shrinkToFit="1"/>
      <protection hidden="1"/>
    </xf>
    <xf numFmtId="0" fontId="4" fillId="0" borderId="0" xfId="3" applyFont="1" applyAlignment="1" applyProtection="1">
      <alignment horizontal="center" vertical="center"/>
      <protection hidden="1"/>
    </xf>
    <xf numFmtId="176" fontId="3" fillId="12" borderId="322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25" xfId="3" applyFont="1" applyBorder="1" applyAlignment="1" applyProtection="1">
      <alignment horizontal="center" vertical="center" wrapText="1"/>
      <protection locked="0"/>
    </xf>
    <xf numFmtId="0" fontId="3" fillId="0" borderId="44" xfId="3" applyFont="1" applyBorder="1" applyAlignment="1" applyProtection="1">
      <alignment horizontal="center" vertical="center" wrapText="1"/>
      <protection locked="0"/>
    </xf>
    <xf numFmtId="0" fontId="3" fillId="0" borderId="106" xfId="3" applyFont="1" applyBorder="1" applyAlignment="1" applyProtection="1">
      <alignment horizontal="center" vertical="center" wrapText="1"/>
      <protection locked="0"/>
    </xf>
    <xf numFmtId="0" fontId="3" fillId="0" borderId="26" xfId="3" applyFont="1" applyBorder="1" applyAlignment="1" applyProtection="1">
      <alignment horizontal="center" vertical="center" wrapText="1"/>
      <protection locked="0"/>
    </xf>
    <xf numFmtId="0" fontId="3" fillId="0" borderId="30" xfId="3" applyFont="1" applyBorder="1" applyAlignment="1" applyProtection="1">
      <alignment horizontal="center" vertical="center" wrapText="1"/>
      <protection locked="0"/>
    </xf>
    <xf numFmtId="0" fontId="3" fillId="0" borderId="281" xfId="3" applyFont="1" applyBorder="1" applyAlignment="1" applyProtection="1">
      <alignment horizontal="center" vertical="center" wrapText="1"/>
      <protection locked="0"/>
    </xf>
    <xf numFmtId="0" fontId="3" fillId="0" borderId="282" xfId="3" applyFont="1" applyBorder="1" applyAlignment="1" applyProtection="1">
      <alignment horizontal="center" vertical="center" wrapText="1"/>
      <protection locked="0"/>
    </xf>
    <xf numFmtId="176" fontId="3" fillId="18" borderId="254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85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54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136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92" xfId="3" applyNumberFormat="1" applyFont="1" applyFill="1" applyBorder="1" applyAlignment="1" applyProtection="1">
      <alignment horizontal="center" vertical="center" wrapText="1"/>
      <protection hidden="1"/>
    </xf>
    <xf numFmtId="0" fontId="1" fillId="15" borderId="158" xfId="3" applyFill="1" applyBorder="1" applyAlignment="1" applyProtection="1">
      <alignment horizontal="center" vertical="center"/>
      <protection hidden="1"/>
    </xf>
    <xf numFmtId="0" fontId="1" fillId="2" borderId="64" xfId="3" applyFill="1" applyBorder="1" applyAlignment="1" applyProtection="1">
      <alignment horizontal="center" vertical="center"/>
      <protection hidden="1"/>
    </xf>
    <xf numFmtId="176" fontId="3" fillId="12" borderId="324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26" xfId="3" applyFont="1" applyBorder="1" applyAlignment="1" applyProtection="1">
      <alignment horizontal="center" vertical="center" wrapText="1"/>
      <protection locked="0"/>
    </xf>
    <xf numFmtId="0" fontId="3" fillId="0" borderId="45" xfId="3" applyFont="1" applyBorder="1" applyAlignment="1" applyProtection="1">
      <alignment horizontal="center" vertical="center" wrapText="1"/>
      <protection locked="0"/>
    </xf>
    <xf numFmtId="0" fontId="3" fillId="0" borderId="107" xfId="3" applyFont="1" applyBorder="1" applyAlignment="1" applyProtection="1">
      <alignment horizontal="center" vertical="center" wrapText="1"/>
      <protection locked="0"/>
    </xf>
    <xf numFmtId="0" fontId="3" fillId="0" borderId="27" xfId="3" applyFont="1" applyBorder="1" applyAlignment="1" applyProtection="1">
      <alignment horizontal="center" vertical="center" wrapText="1"/>
      <protection locked="0"/>
    </xf>
    <xf numFmtId="0" fontId="3" fillId="0" borderId="31" xfId="3" applyFont="1" applyBorder="1" applyAlignment="1" applyProtection="1">
      <alignment horizontal="center" vertical="center" wrapText="1"/>
      <protection locked="0"/>
    </xf>
    <xf numFmtId="0" fontId="3" fillId="0" borderId="283" xfId="3" applyFont="1" applyBorder="1" applyAlignment="1" applyProtection="1">
      <alignment horizontal="center" vertical="center" wrapText="1"/>
      <protection locked="0"/>
    </xf>
    <xf numFmtId="0" fontId="3" fillId="0" borderId="284" xfId="3" applyFont="1" applyBorder="1" applyAlignment="1" applyProtection="1">
      <alignment horizontal="center" vertical="center" wrapText="1"/>
      <protection locked="0"/>
    </xf>
    <xf numFmtId="176" fontId="3" fillId="18" borderId="255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86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89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325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56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65" xfId="3" applyFill="1" applyBorder="1" applyAlignment="1" applyProtection="1">
      <alignment horizontal="center" vertical="center"/>
      <protection hidden="1"/>
    </xf>
    <xf numFmtId="176" fontId="3" fillId="12" borderId="194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27" xfId="3" applyFont="1" applyBorder="1" applyAlignment="1" applyProtection="1">
      <alignment horizontal="center" vertical="center" wrapText="1"/>
      <protection locked="0"/>
    </xf>
    <xf numFmtId="0" fontId="3" fillId="0" borderId="46" xfId="3" applyFont="1" applyBorder="1" applyAlignment="1" applyProtection="1">
      <alignment horizontal="center" vertical="center" wrapText="1"/>
      <protection locked="0"/>
    </xf>
    <xf numFmtId="0" fontId="3" fillId="0" borderId="108" xfId="3" applyFont="1" applyBorder="1" applyAlignment="1" applyProtection="1">
      <alignment horizontal="center" vertical="center" wrapText="1"/>
      <protection locked="0"/>
    </xf>
    <xf numFmtId="0" fontId="3" fillId="0" borderId="28" xfId="3" applyFont="1" applyBorder="1" applyAlignment="1" applyProtection="1">
      <alignment horizontal="center" vertical="center" wrapText="1"/>
      <protection locked="0"/>
    </xf>
    <xf numFmtId="0" fontId="3" fillId="0" borderId="32" xfId="3" applyFont="1" applyBorder="1" applyAlignment="1" applyProtection="1">
      <alignment horizontal="center" vertical="center" wrapText="1"/>
      <protection locked="0"/>
    </xf>
    <xf numFmtId="0" fontId="3" fillId="0" borderId="285" xfId="3" applyFont="1" applyBorder="1" applyAlignment="1" applyProtection="1">
      <alignment horizontal="center" vertical="center" wrapText="1"/>
      <protection locked="0"/>
    </xf>
    <xf numFmtId="0" fontId="3" fillId="0" borderId="286" xfId="3" applyFont="1" applyBorder="1" applyAlignment="1" applyProtection="1">
      <alignment horizontal="center" vertical="center" wrapText="1"/>
      <protection locked="0"/>
    </xf>
    <xf numFmtId="176" fontId="3" fillId="18" borderId="256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87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150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327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328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66" xfId="3" applyFill="1" applyBorder="1" applyAlignment="1" applyProtection="1">
      <alignment horizontal="center" vertical="center"/>
      <protection hidden="1"/>
    </xf>
    <xf numFmtId="0" fontId="3" fillId="0" borderId="279" xfId="3" applyFont="1" applyBorder="1" applyAlignment="1" applyProtection="1">
      <alignment horizontal="center" vertical="center" wrapText="1"/>
      <protection locked="0"/>
    </xf>
    <xf numFmtId="0" fontId="1" fillId="2" borderId="62" xfId="3" applyFill="1" applyBorder="1" applyAlignment="1" applyProtection="1">
      <alignment horizontal="center" vertical="center"/>
      <protection hidden="1"/>
    </xf>
    <xf numFmtId="0" fontId="1" fillId="2" borderId="99" xfId="3" applyFill="1" applyBorder="1" applyAlignment="1" applyProtection="1">
      <alignment horizontal="center" vertical="center"/>
      <protection hidden="1"/>
    </xf>
    <xf numFmtId="176" fontId="3" fillId="12" borderId="166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28" xfId="3" applyFont="1" applyBorder="1" applyAlignment="1" applyProtection="1">
      <alignment horizontal="center" vertical="center" wrapText="1"/>
      <protection locked="0"/>
    </xf>
    <xf numFmtId="0" fontId="3" fillId="0" borderId="3" xfId="3" applyFont="1" applyBorder="1" applyAlignment="1" applyProtection="1">
      <alignment horizontal="center" vertical="center" wrapText="1"/>
      <protection locked="0"/>
    </xf>
    <xf numFmtId="0" fontId="3" fillId="0" borderId="264" xfId="3" applyFont="1" applyBorder="1" applyAlignment="1" applyProtection="1">
      <alignment horizontal="center" vertical="center" wrapText="1"/>
      <protection locked="0"/>
    </xf>
    <xf numFmtId="0" fontId="3" fillId="0" borderId="15" xfId="3" applyFont="1" applyBorder="1" applyAlignment="1" applyProtection="1">
      <alignment horizontal="center" vertical="center" wrapText="1"/>
      <protection locked="0"/>
    </xf>
    <xf numFmtId="0" fontId="3" fillId="0" borderId="34" xfId="3" applyFont="1" applyBorder="1" applyAlignment="1" applyProtection="1">
      <alignment horizontal="center" vertical="center" wrapText="1"/>
      <protection locked="0"/>
    </xf>
    <xf numFmtId="0" fontId="3" fillId="0" borderId="287" xfId="3" applyFont="1" applyBorder="1" applyAlignment="1" applyProtection="1">
      <alignment horizontal="center" vertical="center" wrapText="1"/>
      <protection locked="0"/>
    </xf>
    <xf numFmtId="0" fontId="3" fillId="0" borderId="288" xfId="3" applyFont="1" applyBorder="1" applyAlignment="1" applyProtection="1">
      <alignment horizontal="center" vertical="center" wrapText="1"/>
      <protection locked="0"/>
    </xf>
    <xf numFmtId="176" fontId="3" fillId="6" borderId="88" xfId="3" applyNumberFormat="1" applyFont="1" applyFill="1" applyBorder="1" applyAlignment="1" applyProtection="1">
      <alignment horizontal="center" vertical="center" wrapText="1"/>
      <protection hidden="1"/>
    </xf>
    <xf numFmtId="176" fontId="3" fillId="12" borderId="161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29" xfId="3" applyFont="1" applyBorder="1" applyAlignment="1" applyProtection="1">
      <alignment horizontal="center" vertical="center" wrapText="1"/>
      <protection locked="0"/>
    </xf>
    <xf numFmtId="0" fontId="3" fillId="0" borderId="4" xfId="3" applyFont="1" applyBorder="1" applyAlignment="1" applyProtection="1">
      <alignment horizontal="center" vertical="center" wrapText="1"/>
      <protection locked="0"/>
    </xf>
    <xf numFmtId="0" fontId="3" fillId="0" borderId="265" xfId="3" applyFont="1" applyBorder="1" applyAlignment="1" applyProtection="1">
      <alignment horizontal="center" vertical="center" wrapText="1"/>
      <protection locked="0"/>
    </xf>
    <xf numFmtId="0" fontId="3" fillId="0" borderId="13" xfId="3" applyFont="1" applyBorder="1" applyAlignment="1" applyProtection="1">
      <alignment horizontal="center" vertical="center" wrapText="1"/>
      <protection locked="0"/>
    </xf>
    <xf numFmtId="0" fontId="3" fillId="0" borderId="35" xfId="3" applyFont="1" applyBorder="1" applyAlignment="1" applyProtection="1">
      <alignment horizontal="center" vertical="center" wrapText="1"/>
      <protection locked="0"/>
    </xf>
    <xf numFmtId="0" fontId="3" fillId="0" borderId="289" xfId="3" applyFont="1" applyBorder="1" applyAlignment="1" applyProtection="1">
      <alignment horizontal="center" vertical="center" wrapText="1"/>
      <protection locked="0"/>
    </xf>
    <xf numFmtId="0" fontId="3" fillId="0" borderId="290" xfId="3" applyFont="1" applyBorder="1" applyAlignment="1" applyProtection="1">
      <alignment horizontal="center" vertical="center" wrapText="1"/>
      <protection locked="0"/>
    </xf>
    <xf numFmtId="0" fontId="3" fillId="0" borderId="230" xfId="3" applyFont="1" applyBorder="1" applyAlignment="1" applyProtection="1">
      <alignment horizontal="center" vertical="center" wrapText="1"/>
      <protection locked="0"/>
    </xf>
    <xf numFmtId="0" fontId="3" fillId="0" borderId="5" xfId="3" applyFont="1" applyBorder="1" applyAlignment="1" applyProtection="1">
      <alignment horizontal="center" vertical="center" wrapText="1"/>
      <protection locked="0"/>
    </xf>
    <xf numFmtId="0" fontId="3" fillId="0" borderId="266" xfId="3" applyFont="1" applyBorder="1" applyAlignment="1" applyProtection="1">
      <alignment horizontal="center" vertical="center" wrapText="1"/>
      <protection locked="0"/>
    </xf>
    <xf numFmtId="0" fontId="3" fillId="0" borderId="12" xfId="3" applyFont="1" applyBorder="1" applyAlignment="1" applyProtection="1">
      <alignment horizontal="center" vertical="center" wrapText="1"/>
      <protection locked="0"/>
    </xf>
    <xf numFmtId="0" fontId="3" fillId="0" borderId="36" xfId="3" applyFont="1" applyBorder="1" applyAlignment="1" applyProtection="1">
      <alignment horizontal="center" vertical="center" wrapText="1"/>
      <protection locked="0"/>
    </xf>
    <xf numFmtId="0" fontId="3" fillId="0" borderId="291" xfId="3" applyFont="1" applyBorder="1" applyAlignment="1" applyProtection="1">
      <alignment horizontal="center" vertical="center" wrapText="1"/>
      <protection locked="0"/>
    </xf>
    <xf numFmtId="0" fontId="3" fillId="0" borderId="292" xfId="3" applyFont="1" applyBorder="1" applyAlignment="1" applyProtection="1">
      <alignment horizontal="center" vertical="center" wrapText="1"/>
      <protection locked="0"/>
    </xf>
    <xf numFmtId="176" fontId="3" fillId="6" borderId="90" xfId="3" applyNumberFormat="1" applyFont="1" applyFill="1" applyBorder="1" applyAlignment="1" applyProtection="1">
      <alignment horizontal="center" vertical="center" wrapText="1"/>
      <protection hidden="1"/>
    </xf>
    <xf numFmtId="0" fontId="1" fillId="15" borderId="38" xfId="3" applyFill="1" applyBorder="1" applyAlignment="1" applyProtection="1">
      <alignment horizontal="center" vertical="center"/>
      <protection hidden="1"/>
    </xf>
    <xf numFmtId="0" fontId="3" fillId="0" borderId="330" xfId="3" applyFont="1" applyBorder="1" applyAlignment="1" applyProtection="1">
      <alignment horizontal="center" vertical="center" wrapText="1"/>
      <protection locked="0"/>
    </xf>
    <xf numFmtId="0" fontId="3" fillId="0" borderId="54" xfId="3" applyFont="1" applyBorder="1" applyAlignment="1" applyProtection="1">
      <alignment horizontal="center" vertical="center" wrapText="1"/>
      <protection locked="0"/>
    </xf>
    <xf numFmtId="0" fontId="3" fillId="0" borderId="331" xfId="3" applyFont="1" applyBorder="1" applyAlignment="1" applyProtection="1">
      <alignment horizontal="center" vertical="center" wrapText="1"/>
      <protection locked="0"/>
    </xf>
    <xf numFmtId="0" fontId="3" fillId="0" borderId="198" xfId="3" applyFont="1" applyBorder="1" applyAlignment="1" applyProtection="1">
      <alignment horizontal="center" vertical="center" wrapText="1"/>
      <protection locked="0"/>
    </xf>
    <xf numFmtId="0" fontId="3" fillId="0" borderId="332" xfId="3" applyFont="1" applyBorder="1" applyAlignment="1" applyProtection="1">
      <alignment horizontal="center" vertical="center" wrapText="1"/>
      <protection locked="0"/>
    </xf>
    <xf numFmtId="0" fontId="3" fillId="0" borderId="333" xfId="3" applyFont="1" applyBorder="1" applyAlignment="1" applyProtection="1">
      <alignment horizontal="center" vertical="center" wrapText="1"/>
      <protection locked="0"/>
    </xf>
    <xf numFmtId="0" fontId="3" fillId="0" borderId="334" xfId="3" applyFont="1" applyBorder="1" applyAlignment="1" applyProtection="1">
      <alignment horizontal="center" vertical="center" wrapText="1"/>
      <protection locked="0"/>
    </xf>
    <xf numFmtId="176" fontId="3" fillId="18" borderId="259" xfId="3" applyNumberFormat="1" applyFont="1" applyFill="1" applyBorder="1" applyAlignment="1" applyProtection="1">
      <alignment horizontal="center" vertical="center" wrapText="1"/>
      <protection hidden="1"/>
    </xf>
    <xf numFmtId="176" fontId="3" fillId="12" borderId="198" xfId="3" applyNumberFormat="1" applyFont="1" applyFill="1" applyBorder="1" applyAlignment="1" applyProtection="1">
      <alignment horizontal="center" vertical="center" wrapText="1"/>
      <protection hidden="1"/>
    </xf>
    <xf numFmtId="176" fontId="3" fillId="18" borderId="257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50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247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337" xfId="3" applyNumberFormat="1" applyFont="1" applyFill="1" applyBorder="1" applyAlignment="1" applyProtection="1">
      <alignment horizontal="center" vertical="center" wrapText="1"/>
      <protection hidden="1"/>
    </xf>
    <xf numFmtId="0" fontId="1" fillId="15" borderId="338" xfId="3" applyFill="1" applyBorder="1" applyAlignment="1" applyProtection="1">
      <alignment horizontal="center" vertical="center"/>
      <protection hidden="1"/>
    </xf>
    <xf numFmtId="0" fontId="1" fillId="2" borderId="67" xfId="3" applyFill="1" applyBorder="1" applyAlignment="1" applyProtection="1">
      <alignment horizontal="center" vertical="center"/>
      <protection hidden="1"/>
    </xf>
    <xf numFmtId="0" fontId="1" fillId="2" borderId="100" xfId="3" applyFill="1" applyBorder="1" applyAlignment="1" applyProtection="1">
      <alignment horizontal="center" vertical="center"/>
      <protection hidden="1"/>
    </xf>
    <xf numFmtId="176" fontId="3" fillId="12" borderId="237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47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251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103" xfId="3" applyFill="1" applyBorder="1" applyAlignment="1" applyProtection="1">
      <alignment horizontal="center" vertical="center"/>
      <protection hidden="1"/>
    </xf>
    <xf numFmtId="176" fontId="3" fillId="21" borderId="247" xfId="3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3" applyProtection="1">
      <alignment vertical="center"/>
      <protection hidden="1"/>
    </xf>
    <xf numFmtId="176" fontId="3" fillId="21" borderId="89" xfId="3" applyNumberFormat="1" applyFont="1" applyFill="1" applyBorder="1" applyAlignment="1" applyProtection="1">
      <alignment horizontal="center" vertical="center" wrapText="1"/>
      <protection hidden="1"/>
    </xf>
    <xf numFmtId="0" fontId="3" fillId="0" borderId="232" xfId="3" applyFont="1" applyBorder="1" applyAlignment="1" applyProtection="1">
      <alignment horizontal="center" vertical="center" wrapText="1"/>
      <protection locked="0"/>
    </xf>
    <xf numFmtId="0" fontId="3" fillId="0" borderId="6" xfId="3" applyFont="1" applyBorder="1" applyAlignment="1" applyProtection="1">
      <alignment horizontal="center" vertical="center" wrapText="1"/>
      <protection locked="0"/>
    </xf>
    <xf numFmtId="0" fontId="3" fillId="0" borderId="269" xfId="3" applyFont="1" applyBorder="1" applyAlignment="1" applyProtection="1">
      <alignment horizontal="center" vertical="center" wrapText="1"/>
      <protection locked="0"/>
    </xf>
    <xf numFmtId="0" fontId="3" fillId="0" borderId="7" xfId="3" applyFont="1" applyBorder="1" applyAlignment="1" applyProtection="1">
      <alignment horizontal="center" vertical="center" wrapText="1"/>
      <protection locked="0"/>
    </xf>
    <xf numFmtId="0" fontId="3" fillId="0" borderId="39" xfId="3" applyFont="1" applyBorder="1" applyAlignment="1" applyProtection="1">
      <alignment horizontal="center" vertical="center" wrapText="1"/>
      <protection locked="0"/>
    </xf>
    <xf numFmtId="0" fontId="3" fillId="0" borderId="296" xfId="3" applyFont="1" applyBorder="1" applyAlignment="1" applyProtection="1">
      <alignment horizontal="center" vertical="center" wrapText="1"/>
      <protection locked="0"/>
    </xf>
    <xf numFmtId="0" fontId="3" fillId="0" borderId="297" xfId="3" applyFont="1" applyBorder="1" applyAlignment="1" applyProtection="1">
      <alignment horizontal="center" vertical="center" wrapText="1"/>
      <protection locked="0"/>
    </xf>
    <xf numFmtId="176" fontId="3" fillId="21" borderId="90" xfId="3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3" applyFont="1" applyProtection="1">
      <alignment vertical="center"/>
      <protection hidden="1"/>
    </xf>
    <xf numFmtId="0" fontId="8" fillId="0" borderId="0" xfId="3" applyFont="1">
      <alignment vertical="center"/>
    </xf>
    <xf numFmtId="0" fontId="3" fillId="12" borderId="194" xfId="3" applyFont="1" applyFill="1" applyBorder="1" applyAlignment="1" applyProtection="1">
      <alignment horizontal="center" vertical="center" wrapText="1"/>
      <protection hidden="1"/>
    </xf>
    <xf numFmtId="176" fontId="3" fillId="21" borderId="250" xfId="3" applyNumberFormat="1" applyFont="1" applyFill="1" applyBorder="1" applyAlignment="1" applyProtection="1">
      <alignment horizontal="center" vertical="center" wrapText="1"/>
      <protection hidden="1"/>
    </xf>
    <xf numFmtId="0" fontId="3" fillId="20" borderId="339" xfId="3" applyFont="1" applyFill="1" applyBorder="1" applyAlignment="1" applyProtection="1">
      <alignment horizontal="center" vertical="center" wrapText="1"/>
      <protection locked="0"/>
    </xf>
    <xf numFmtId="0" fontId="3" fillId="25" borderId="166" xfId="3" applyFont="1" applyFill="1" applyBorder="1" applyAlignment="1" applyProtection="1">
      <alignment horizontal="center" vertical="center" wrapText="1"/>
      <protection hidden="1"/>
    </xf>
    <xf numFmtId="0" fontId="3" fillId="0" borderId="342" xfId="3" applyFont="1" applyBorder="1" applyAlignment="1" applyProtection="1">
      <alignment horizontal="center" vertical="center" wrapText="1"/>
      <protection locked="0"/>
    </xf>
    <xf numFmtId="0" fontId="3" fillId="0" borderId="339" xfId="3" applyFont="1" applyBorder="1" applyAlignment="1" applyProtection="1">
      <alignment horizontal="center" vertical="center" wrapText="1"/>
      <protection locked="0"/>
    </xf>
    <xf numFmtId="0" fontId="3" fillId="0" borderId="343" xfId="3" applyFont="1" applyBorder="1" applyAlignment="1" applyProtection="1">
      <alignment horizontal="center" vertical="center" wrapText="1"/>
      <protection locked="0"/>
    </xf>
    <xf numFmtId="0" fontId="3" fillId="0" borderId="344" xfId="3" applyFont="1" applyBorder="1" applyAlignment="1" applyProtection="1">
      <alignment horizontal="center" vertical="center" wrapText="1"/>
      <protection locked="0"/>
    </xf>
    <xf numFmtId="0" fontId="3" fillId="0" borderId="345" xfId="3" applyFont="1" applyBorder="1" applyAlignment="1" applyProtection="1">
      <alignment horizontal="center" vertical="center" wrapText="1"/>
      <protection locked="0"/>
    </xf>
    <xf numFmtId="0" fontId="3" fillId="0" borderId="346" xfId="3" applyFont="1" applyBorder="1" applyAlignment="1" applyProtection="1">
      <alignment horizontal="center" vertical="center" wrapText="1"/>
      <protection locked="0"/>
    </xf>
    <xf numFmtId="0" fontId="3" fillId="0" borderId="347" xfId="3" applyFont="1" applyBorder="1" applyAlignment="1" applyProtection="1">
      <alignment horizontal="center" vertical="center" wrapText="1"/>
      <protection locked="0"/>
    </xf>
    <xf numFmtId="176" fontId="3" fillId="18" borderId="348" xfId="3" applyNumberFormat="1" applyFont="1" applyFill="1" applyBorder="1" applyAlignment="1" applyProtection="1">
      <alignment horizontal="center" vertical="center" wrapText="1"/>
      <protection hidden="1"/>
    </xf>
    <xf numFmtId="0" fontId="8" fillId="0" borderId="0" xfId="3" applyFont="1" applyAlignment="1">
      <alignment horizontal="left" vertical="center"/>
    </xf>
    <xf numFmtId="0" fontId="3" fillId="20" borderId="349" xfId="3" applyFont="1" applyFill="1" applyBorder="1" applyAlignment="1" applyProtection="1">
      <alignment horizontal="center" vertical="center" wrapText="1"/>
      <protection locked="0"/>
    </xf>
    <xf numFmtId="0" fontId="3" fillId="25" borderId="352" xfId="3" applyFont="1" applyFill="1" applyBorder="1" applyAlignment="1" applyProtection="1">
      <alignment horizontal="center" vertical="center" wrapText="1"/>
      <protection hidden="1"/>
    </xf>
    <xf numFmtId="0" fontId="3" fillId="0" borderId="353" xfId="3" applyFont="1" applyBorder="1" applyAlignment="1" applyProtection="1">
      <alignment horizontal="center" vertical="center" wrapText="1"/>
      <protection locked="0"/>
    </xf>
    <xf numFmtId="0" fontId="3" fillId="0" borderId="349" xfId="3" applyFont="1" applyBorder="1" applyAlignment="1" applyProtection="1">
      <alignment horizontal="center" vertical="center" wrapText="1"/>
      <protection locked="0"/>
    </xf>
    <xf numFmtId="0" fontId="3" fillId="0" borderId="354" xfId="3" applyFont="1" applyBorder="1" applyAlignment="1" applyProtection="1">
      <alignment horizontal="center" vertical="center" wrapText="1"/>
      <protection locked="0"/>
    </xf>
    <xf numFmtId="0" fontId="3" fillId="0" borderId="355" xfId="3" applyFont="1" applyBorder="1" applyAlignment="1" applyProtection="1">
      <alignment horizontal="center" vertical="center" wrapText="1"/>
      <protection locked="0"/>
    </xf>
    <xf numFmtId="0" fontId="3" fillId="0" borderId="356" xfId="3" applyFont="1" applyBorder="1" applyAlignment="1" applyProtection="1">
      <alignment horizontal="center" vertical="center" wrapText="1"/>
      <protection locked="0"/>
    </xf>
    <xf numFmtId="0" fontId="3" fillId="0" borderId="357" xfId="3" applyFont="1" applyBorder="1" applyAlignment="1" applyProtection="1">
      <alignment horizontal="center" vertical="center" wrapText="1"/>
      <protection locked="0"/>
    </xf>
    <xf numFmtId="0" fontId="3" fillId="0" borderId="358" xfId="3" applyFont="1" applyBorder="1" applyAlignment="1" applyProtection="1">
      <alignment horizontal="center" vertical="center" wrapText="1"/>
      <protection locked="0"/>
    </xf>
    <xf numFmtId="176" fontId="3" fillId="18" borderId="359" xfId="3" applyNumberFormat="1" applyFont="1" applyFill="1" applyBorder="1" applyAlignment="1" applyProtection="1">
      <alignment horizontal="center" vertical="center" wrapText="1"/>
      <protection hidden="1"/>
    </xf>
    <xf numFmtId="0" fontId="3" fillId="20" borderId="360" xfId="3" applyFont="1" applyFill="1" applyBorder="1" applyAlignment="1" applyProtection="1">
      <alignment horizontal="center" vertical="center" wrapText="1"/>
      <protection locked="0"/>
    </xf>
    <xf numFmtId="0" fontId="3" fillId="25" borderId="363" xfId="3" applyFont="1" applyFill="1" applyBorder="1" applyAlignment="1" applyProtection="1">
      <alignment horizontal="center" vertical="center" wrapText="1"/>
      <protection hidden="1"/>
    </xf>
    <xf numFmtId="0" fontId="3" fillId="0" borderId="364" xfId="3" applyFont="1" applyBorder="1" applyAlignment="1" applyProtection="1">
      <alignment horizontal="center" vertical="center" wrapText="1"/>
      <protection locked="0"/>
    </xf>
    <xf numFmtId="0" fontId="3" fillId="0" borderId="360" xfId="3" applyFont="1" applyBorder="1" applyAlignment="1" applyProtection="1">
      <alignment horizontal="center" vertical="center" wrapText="1"/>
      <protection locked="0"/>
    </xf>
    <xf numFmtId="0" fontId="3" fillId="0" borderId="365" xfId="3" applyFont="1" applyBorder="1" applyAlignment="1" applyProtection="1">
      <alignment horizontal="center" vertical="center" wrapText="1"/>
      <protection locked="0"/>
    </xf>
    <xf numFmtId="0" fontId="3" fillId="0" borderId="366" xfId="3" applyFont="1" applyBorder="1" applyAlignment="1" applyProtection="1">
      <alignment horizontal="center" vertical="center" wrapText="1"/>
      <protection locked="0"/>
    </xf>
    <xf numFmtId="0" fontId="3" fillId="0" borderId="367" xfId="3" applyFont="1" applyBorder="1" applyAlignment="1" applyProtection="1">
      <alignment horizontal="center" vertical="center" wrapText="1"/>
      <protection locked="0"/>
    </xf>
    <xf numFmtId="0" fontId="3" fillId="0" borderId="368" xfId="3" applyFont="1" applyBorder="1" applyAlignment="1" applyProtection="1">
      <alignment horizontal="center" vertical="center" wrapText="1"/>
      <protection locked="0"/>
    </xf>
    <xf numFmtId="0" fontId="3" fillId="0" borderId="369" xfId="3" applyFont="1" applyBorder="1" applyAlignment="1" applyProtection="1">
      <alignment horizontal="center" vertical="center" wrapText="1"/>
      <protection locked="0"/>
    </xf>
    <xf numFmtId="176" fontId="3" fillId="18" borderId="370" xfId="3" applyNumberFormat="1" applyFont="1" applyFill="1" applyBorder="1" applyAlignment="1" applyProtection="1">
      <alignment horizontal="center" vertical="center" wrapText="1"/>
      <protection hidden="1"/>
    </xf>
    <xf numFmtId="3" fontId="4" fillId="3" borderId="25" xfId="3" applyNumberFormat="1" applyFont="1" applyFill="1" applyBorder="1" applyAlignment="1" applyProtection="1">
      <alignment horizontal="center" vertical="center" wrapText="1"/>
      <protection hidden="1"/>
    </xf>
    <xf numFmtId="0" fontId="4" fillId="3" borderId="233" xfId="3" applyFont="1" applyFill="1" applyBorder="1" applyAlignment="1" applyProtection="1">
      <alignment horizontal="center" vertical="center" wrapText="1"/>
      <protection hidden="1"/>
    </xf>
    <xf numFmtId="0" fontId="4" fillId="3" borderId="11" xfId="3" applyFont="1" applyFill="1" applyBorder="1" applyAlignment="1" applyProtection="1">
      <alignment horizontal="center" vertical="center" wrapText="1"/>
      <protection hidden="1"/>
    </xf>
    <xf numFmtId="0" fontId="4" fillId="3" borderId="270" xfId="3" applyFont="1" applyFill="1" applyBorder="1" applyAlignment="1" applyProtection="1">
      <alignment horizontal="center" vertical="center" wrapText="1"/>
      <protection hidden="1"/>
    </xf>
    <xf numFmtId="0" fontId="4" fillId="3" borderId="18" xfId="3" applyFont="1" applyFill="1" applyBorder="1" applyAlignment="1" applyProtection="1">
      <alignment horizontal="center" vertical="center" wrapText="1"/>
      <protection hidden="1"/>
    </xf>
    <xf numFmtId="0" fontId="4" fillId="3" borderId="40" xfId="3" applyFont="1" applyFill="1" applyBorder="1" applyAlignment="1" applyProtection="1">
      <alignment horizontal="center" vertical="center" wrapText="1"/>
      <protection hidden="1"/>
    </xf>
    <xf numFmtId="0" fontId="4" fillId="3" borderId="298" xfId="3" applyFont="1" applyFill="1" applyBorder="1" applyAlignment="1" applyProtection="1">
      <alignment horizontal="center" vertical="center" wrapText="1"/>
      <protection hidden="1"/>
    </xf>
    <xf numFmtId="0" fontId="4" fillId="3" borderId="299" xfId="3" applyFont="1" applyFill="1" applyBorder="1" applyAlignment="1" applyProtection="1">
      <alignment horizontal="center" vertical="center" wrapText="1"/>
      <protection hidden="1"/>
    </xf>
    <xf numFmtId="176" fontId="4" fillId="10" borderId="48" xfId="3" applyNumberFormat="1" applyFont="1" applyFill="1" applyBorder="1" applyAlignment="1" applyProtection="1">
      <alignment horizontal="center" vertical="center" wrapText="1"/>
      <protection hidden="1"/>
    </xf>
    <xf numFmtId="176" fontId="4" fillId="10" borderId="25" xfId="3" applyNumberFormat="1" applyFont="1" applyFill="1" applyBorder="1" applyAlignment="1" applyProtection="1">
      <alignment horizontal="center" vertical="center" wrapText="1"/>
      <protection hidden="1"/>
    </xf>
    <xf numFmtId="176" fontId="4" fillId="10" borderId="49" xfId="3" applyNumberFormat="1" applyFont="1" applyFill="1" applyBorder="1" applyAlignment="1" applyProtection="1">
      <alignment horizontal="center" vertical="center" wrapText="1"/>
      <protection hidden="1"/>
    </xf>
    <xf numFmtId="0" fontId="1" fillId="23" borderId="373" xfId="3" applyFill="1" applyBorder="1" applyProtection="1">
      <alignment vertical="center"/>
      <protection hidden="1"/>
    </xf>
    <xf numFmtId="0" fontId="1" fillId="2" borderId="374" xfId="3" applyFill="1" applyBorder="1" applyAlignment="1" applyProtection="1">
      <alignment horizontal="center" vertical="center"/>
      <protection hidden="1"/>
    </xf>
    <xf numFmtId="0" fontId="1" fillId="2" borderId="375" xfId="3" applyFill="1" applyBorder="1" applyAlignment="1" applyProtection="1">
      <alignment horizontal="center" vertical="center"/>
      <protection hidden="1"/>
    </xf>
    <xf numFmtId="0" fontId="1" fillId="2" borderId="104" xfId="3" applyFill="1" applyBorder="1" applyAlignment="1" applyProtection="1">
      <alignment horizontal="center" vertical="center"/>
      <protection hidden="1"/>
    </xf>
    <xf numFmtId="0" fontId="3" fillId="12" borderId="239" xfId="3" applyFont="1" applyFill="1" applyBorder="1" applyAlignment="1" applyProtection="1">
      <alignment horizontal="center" vertical="center" wrapText="1"/>
      <protection hidden="1"/>
    </xf>
    <xf numFmtId="0" fontId="3" fillId="0" borderId="199" xfId="3" applyFont="1" applyBorder="1" applyAlignment="1" applyProtection="1">
      <alignment horizontal="center" vertical="center" wrapText="1"/>
      <protection locked="0"/>
    </xf>
    <xf numFmtId="0" fontId="3" fillId="0" borderId="21" xfId="3" applyFont="1" applyBorder="1" applyAlignment="1" applyProtection="1">
      <alignment horizontal="center" vertical="center" wrapText="1"/>
      <protection locked="0"/>
    </xf>
    <xf numFmtId="0" fontId="3" fillId="0" borderId="262" xfId="3" applyFont="1" applyBorder="1" applyAlignment="1" applyProtection="1">
      <alignment horizontal="center" vertical="center" wrapText="1"/>
      <protection locked="0"/>
    </xf>
    <xf numFmtId="0" fontId="3" fillId="0" borderId="20" xfId="3" applyFont="1" applyBorder="1" applyAlignment="1" applyProtection="1">
      <alignment horizontal="center" vertical="center" wrapText="1"/>
      <protection locked="0"/>
    </xf>
    <xf numFmtId="0" fontId="3" fillId="0" borderId="41" xfId="3" applyFont="1" applyBorder="1" applyAlignment="1" applyProtection="1">
      <alignment horizontal="center" vertical="center" wrapText="1"/>
      <protection locked="0"/>
    </xf>
    <xf numFmtId="0" fontId="3" fillId="0" borderId="300" xfId="3" applyFont="1" applyBorder="1" applyAlignment="1" applyProtection="1">
      <alignment horizontal="center" vertical="center" wrapText="1"/>
      <protection locked="0"/>
    </xf>
    <xf numFmtId="0" fontId="3" fillId="0" borderId="301" xfId="3" applyFont="1" applyBorder="1" applyAlignment="1" applyProtection="1">
      <alignment horizontal="center" vertical="center" wrapText="1"/>
      <protection locked="0"/>
    </xf>
    <xf numFmtId="176" fontId="3" fillId="6" borderId="149" xfId="3" applyNumberFormat="1" applyFont="1" applyFill="1" applyBorder="1" applyAlignment="1" applyProtection="1">
      <alignment horizontal="center" vertical="center" wrapText="1"/>
      <protection hidden="1"/>
    </xf>
    <xf numFmtId="0" fontId="3" fillId="12" borderId="138" xfId="3" applyFont="1" applyFill="1" applyBorder="1" applyAlignment="1" applyProtection="1">
      <alignment horizontal="center" vertical="center" wrapText="1"/>
      <protection hidden="1"/>
    </xf>
    <xf numFmtId="0" fontId="3" fillId="12" borderId="380" xfId="3" applyFont="1" applyFill="1" applyBorder="1" applyAlignment="1" applyProtection="1">
      <alignment horizontal="center" vertical="center" wrapText="1"/>
      <protection hidden="1"/>
    </xf>
    <xf numFmtId="176" fontId="3" fillId="6" borderId="250" xfId="3" applyNumberFormat="1" applyFont="1" applyFill="1" applyBorder="1" applyAlignment="1" applyProtection="1">
      <alignment horizontal="center" vertical="center" wrapText="1"/>
      <protection hidden="1"/>
    </xf>
    <xf numFmtId="0" fontId="3" fillId="12" borderId="381" xfId="3" applyFont="1" applyFill="1" applyBorder="1" applyAlignment="1" applyProtection="1">
      <alignment horizontal="center" vertical="center" wrapText="1"/>
      <protection hidden="1"/>
    </xf>
    <xf numFmtId="0" fontId="3" fillId="0" borderId="382" xfId="3" applyFont="1" applyBorder="1" applyAlignment="1" applyProtection="1">
      <alignment horizontal="center" vertical="center" wrapText="1"/>
      <protection locked="0"/>
    </xf>
    <xf numFmtId="0" fontId="3" fillId="0" borderId="172" xfId="3" applyFont="1" applyBorder="1" applyAlignment="1" applyProtection="1">
      <alignment horizontal="center" vertical="center" wrapText="1"/>
      <protection locked="0"/>
    </xf>
    <xf numFmtId="0" fontId="3" fillId="0" borderId="383" xfId="3" applyFont="1" applyBorder="1" applyAlignment="1" applyProtection="1">
      <alignment horizontal="center" vertical="center" wrapText="1"/>
      <protection locked="0"/>
    </xf>
    <xf numFmtId="0" fontId="3" fillId="0" borderId="384" xfId="3" applyFont="1" applyBorder="1" applyAlignment="1" applyProtection="1">
      <alignment horizontal="center" vertical="center" wrapText="1"/>
      <protection locked="0"/>
    </xf>
    <xf numFmtId="0" fontId="3" fillId="0" borderId="385" xfId="3" applyFont="1" applyBorder="1" applyAlignment="1" applyProtection="1">
      <alignment horizontal="center" vertical="center" wrapText="1"/>
      <protection locked="0"/>
    </xf>
    <xf numFmtId="0" fontId="3" fillId="0" borderId="386" xfId="3" applyFont="1" applyBorder="1" applyAlignment="1" applyProtection="1">
      <alignment horizontal="center" vertical="center" wrapText="1"/>
      <protection locked="0"/>
    </xf>
    <xf numFmtId="0" fontId="3" fillId="0" borderId="387" xfId="3" applyFont="1" applyBorder="1" applyAlignment="1" applyProtection="1">
      <alignment horizontal="center" vertical="center" wrapText="1"/>
      <protection locked="0"/>
    </xf>
    <xf numFmtId="176" fontId="4" fillId="3" borderId="123" xfId="3" applyNumberFormat="1" applyFont="1" applyFill="1" applyBorder="1" applyAlignment="1" applyProtection="1">
      <alignment horizontal="center" vertical="center" wrapText="1"/>
      <protection hidden="1"/>
    </xf>
    <xf numFmtId="0" fontId="4" fillId="3" borderId="235" xfId="3" applyFont="1" applyFill="1" applyBorder="1" applyAlignment="1" applyProtection="1">
      <alignment horizontal="center" vertical="center" wrapText="1"/>
      <protection hidden="1"/>
    </xf>
    <xf numFmtId="0" fontId="4" fillId="3" borderId="123" xfId="3" applyFont="1" applyFill="1" applyBorder="1" applyAlignment="1" applyProtection="1">
      <alignment horizontal="center" vertical="center" wrapText="1"/>
      <protection hidden="1"/>
    </xf>
    <xf numFmtId="0" fontId="4" fillId="3" borderId="126" xfId="3" applyFont="1" applyFill="1" applyBorder="1" applyAlignment="1" applyProtection="1">
      <alignment horizontal="center" vertical="center" wrapText="1"/>
      <protection hidden="1"/>
    </xf>
    <xf numFmtId="0" fontId="4" fillId="3" borderId="274" xfId="3" applyFont="1" applyFill="1" applyBorder="1" applyAlignment="1" applyProtection="1">
      <alignment horizontal="center" vertical="center" wrapText="1"/>
      <protection hidden="1"/>
    </xf>
    <xf numFmtId="0" fontId="4" fillId="3" borderId="305" xfId="3" applyFont="1" applyFill="1" applyBorder="1" applyAlignment="1" applyProtection="1">
      <alignment horizontal="center" vertical="center" wrapText="1"/>
      <protection hidden="1"/>
    </xf>
    <xf numFmtId="0" fontId="4" fillId="3" borderId="304" xfId="3" applyFont="1" applyFill="1" applyBorder="1" applyAlignment="1" applyProtection="1">
      <alignment horizontal="center" vertical="center" wrapText="1"/>
      <protection hidden="1"/>
    </xf>
    <xf numFmtId="176" fontId="4" fillId="23" borderId="25" xfId="3" applyNumberFormat="1" applyFont="1" applyFill="1" applyBorder="1" applyAlignment="1" applyProtection="1">
      <alignment horizontal="center" vertical="center" wrapText="1"/>
      <protection hidden="1"/>
    </xf>
    <xf numFmtId="176" fontId="4" fillId="10" borderId="151" xfId="3" applyNumberFormat="1" applyFont="1" applyFill="1" applyBorder="1" applyAlignment="1" applyProtection="1">
      <alignment horizontal="center" vertical="center" wrapText="1"/>
      <protection hidden="1"/>
    </xf>
    <xf numFmtId="0" fontId="3" fillId="12" borderId="157" xfId="3" applyFont="1" applyFill="1" applyBorder="1" applyAlignment="1" applyProtection="1">
      <alignment horizontal="center" vertical="center" wrapText="1"/>
      <protection hidden="1"/>
    </xf>
    <xf numFmtId="0" fontId="3" fillId="16" borderId="236" xfId="3" applyFont="1" applyFill="1" applyBorder="1" applyAlignment="1" applyProtection="1">
      <alignment horizontal="center" vertical="center" wrapText="1"/>
      <protection hidden="1"/>
    </xf>
    <xf numFmtId="0" fontId="3" fillId="0" borderId="8" xfId="3" applyFont="1" applyBorder="1" applyAlignment="1" applyProtection="1">
      <alignment horizontal="center" vertical="center" wrapText="1"/>
      <protection locked="0"/>
    </xf>
    <xf numFmtId="0" fontId="3" fillId="23" borderId="272" xfId="3" applyFont="1" applyFill="1" applyBorder="1" applyAlignment="1" applyProtection="1">
      <alignment horizontal="center" vertical="center" wrapText="1"/>
      <protection hidden="1"/>
    </xf>
    <xf numFmtId="0" fontId="3" fillId="16" borderId="43" xfId="3" applyFont="1" applyFill="1" applyBorder="1" applyAlignment="1" applyProtection="1">
      <alignment horizontal="center" vertical="center" wrapText="1"/>
      <protection hidden="1"/>
    </xf>
    <xf numFmtId="0" fontId="3" fillId="16" borderId="98" xfId="3" applyFont="1" applyFill="1" applyBorder="1" applyAlignment="1" applyProtection="1">
      <alignment horizontal="center" vertical="center" wrapText="1"/>
      <protection hidden="1"/>
    </xf>
    <xf numFmtId="0" fontId="3" fillId="16" borderId="307" xfId="3" applyFont="1" applyFill="1" applyBorder="1" applyAlignment="1" applyProtection="1">
      <alignment horizontal="center" vertical="center" wrapText="1"/>
      <protection hidden="1"/>
    </xf>
    <xf numFmtId="0" fontId="3" fillId="16" borderId="308" xfId="3" applyFont="1" applyFill="1" applyBorder="1" applyAlignment="1" applyProtection="1">
      <alignment horizontal="center" vertical="center" wrapText="1"/>
      <protection hidden="1"/>
    </xf>
    <xf numFmtId="176" fontId="3" fillId="6" borderId="399" xfId="3" applyNumberFormat="1" applyFont="1" applyFill="1" applyBorder="1" applyAlignment="1" applyProtection="1">
      <alignment horizontal="center" vertical="center" wrapText="1"/>
      <protection hidden="1"/>
    </xf>
    <xf numFmtId="0" fontId="4" fillId="19" borderId="401" xfId="3" applyFont="1" applyFill="1" applyBorder="1" applyAlignment="1" applyProtection="1">
      <alignment horizontal="center" vertical="center"/>
      <protection hidden="1"/>
    </xf>
    <xf numFmtId="0" fontId="4" fillId="19" borderId="402" xfId="3" applyFont="1" applyFill="1" applyBorder="1" applyAlignment="1" applyProtection="1">
      <alignment horizontal="center" vertical="center"/>
      <protection hidden="1"/>
    </xf>
    <xf numFmtId="0" fontId="4" fillId="19" borderId="403" xfId="3" applyFont="1" applyFill="1" applyBorder="1" applyAlignment="1" applyProtection="1">
      <alignment horizontal="center" vertical="center"/>
      <protection hidden="1"/>
    </xf>
    <xf numFmtId="0" fontId="3" fillId="12" borderId="161" xfId="3" applyFont="1" applyFill="1" applyBorder="1" applyAlignment="1" applyProtection="1">
      <alignment horizontal="center" vertical="center" wrapText="1"/>
      <protection hidden="1"/>
    </xf>
    <xf numFmtId="0" fontId="3" fillId="16" borderId="229" xfId="3" applyFont="1" applyFill="1" applyBorder="1" applyAlignment="1" applyProtection="1">
      <alignment horizontal="center" vertical="center" wrapText="1"/>
      <protection hidden="1"/>
    </xf>
    <xf numFmtId="0" fontId="3" fillId="16" borderId="265" xfId="3" applyFont="1" applyFill="1" applyBorder="1" applyAlignment="1" applyProtection="1">
      <alignment horizontal="center" vertical="center" wrapText="1"/>
      <protection hidden="1"/>
    </xf>
    <xf numFmtId="0" fontId="3" fillId="16" borderId="13" xfId="3" applyFont="1" applyFill="1" applyBorder="1" applyAlignment="1" applyProtection="1">
      <alignment horizontal="center" vertical="center" wrapText="1"/>
      <protection hidden="1"/>
    </xf>
    <xf numFmtId="0" fontId="3" fillId="16" borderId="35" xfId="3" applyFont="1" applyFill="1" applyBorder="1" applyAlignment="1" applyProtection="1">
      <alignment horizontal="center" vertical="center" wrapText="1"/>
      <protection hidden="1"/>
    </xf>
    <xf numFmtId="0" fontId="3" fillId="16" borderId="289" xfId="3" applyFont="1" applyFill="1" applyBorder="1" applyAlignment="1" applyProtection="1">
      <alignment horizontal="center" vertical="center" wrapText="1"/>
      <protection hidden="1"/>
    </xf>
    <xf numFmtId="0" fontId="3" fillId="16" borderId="290" xfId="3" applyFont="1" applyFill="1" applyBorder="1" applyAlignment="1" applyProtection="1">
      <alignment horizontal="center" vertical="center" wrapText="1"/>
      <protection hidden="1"/>
    </xf>
    <xf numFmtId="177" fontId="4" fillId="18" borderId="406" xfId="3" applyNumberFormat="1" applyFont="1" applyFill="1" applyBorder="1" applyAlignment="1" applyProtection="1">
      <alignment horizontal="center" vertical="center"/>
      <protection hidden="1"/>
    </xf>
    <xf numFmtId="0" fontId="4" fillId="18" borderId="407" xfId="3" applyFont="1" applyFill="1" applyBorder="1" applyAlignment="1" applyProtection="1">
      <alignment horizontal="center" vertical="center"/>
      <protection hidden="1"/>
    </xf>
    <xf numFmtId="0" fontId="4" fillId="18" borderId="408" xfId="3" applyFont="1" applyFill="1" applyBorder="1" applyAlignment="1" applyProtection="1">
      <alignment horizontal="center" vertical="center"/>
      <protection hidden="1"/>
    </xf>
    <xf numFmtId="176" fontId="4" fillId="18" borderId="409" xfId="3" applyNumberFormat="1" applyFont="1" applyFill="1" applyBorder="1" applyAlignment="1" applyProtection="1">
      <alignment horizontal="center" vertical="center"/>
      <protection hidden="1"/>
    </xf>
    <xf numFmtId="176" fontId="4" fillId="23" borderId="48" xfId="3" applyNumberFormat="1" applyFont="1" applyFill="1" applyBorder="1" applyAlignment="1" applyProtection="1">
      <alignment horizontal="center" vertical="center" wrapText="1"/>
      <protection hidden="1"/>
    </xf>
    <xf numFmtId="0" fontId="4" fillId="18" borderId="412" xfId="3" applyFont="1" applyFill="1" applyBorder="1" applyAlignment="1" applyProtection="1">
      <alignment horizontal="center" vertical="center"/>
      <protection hidden="1"/>
    </xf>
    <xf numFmtId="3" fontId="4" fillId="22" borderId="16" xfId="3" applyNumberFormat="1" applyFont="1" applyFill="1" applyBorder="1" applyAlignment="1" applyProtection="1">
      <alignment horizontal="center" vertical="center" wrapText="1"/>
      <protection hidden="1"/>
    </xf>
    <xf numFmtId="0" fontId="4" fillId="7" borderId="111" xfId="3" applyFont="1" applyFill="1" applyBorder="1" applyAlignment="1" applyProtection="1">
      <alignment horizontal="center" vertical="center" wrapText="1"/>
      <protection hidden="1"/>
    </xf>
    <xf numFmtId="0" fontId="4" fillId="12" borderId="16" xfId="3" applyFont="1" applyFill="1" applyBorder="1" applyAlignment="1" applyProtection="1">
      <alignment horizontal="center" vertical="center" wrapText="1"/>
      <protection hidden="1"/>
    </xf>
    <xf numFmtId="176" fontId="4" fillId="12" borderId="268" xfId="3" applyNumberFormat="1" applyFont="1" applyFill="1" applyBorder="1" applyAlignment="1" applyProtection="1">
      <alignment horizontal="center" vertical="center" wrapText="1"/>
      <protection hidden="1"/>
    </xf>
    <xf numFmtId="176" fontId="4" fillId="12" borderId="0" xfId="3" applyNumberFormat="1" applyFont="1" applyFill="1" applyAlignment="1" applyProtection="1">
      <alignment horizontal="center" vertical="center" wrapText="1"/>
      <protection hidden="1"/>
    </xf>
    <xf numFmtId="176" fontId="4" fillId="12" borderId="38" xfId="3" applyNumberFormat="1" applyFont="1" applyFill="1" applyBorder="1" applyAlignment="1" applyProtection="1">
      <alignment horizontal="center" vertical="center" wrapText="1"/>
      <protection hidden="1"/>
    </xf>
    <xf numFmtId="176" fontId="4" fillId="12" borderId="309" xfId="3" applyNumberFormat="1" applyFont="1" applyFill="1" applyBorder="1" applyAlignment="1" applyProtection="1">
      <alignment horizontal="center" vertical="center" wrapText="1"/>
      <protection hidden="1"/>
    </xf>
    <xf numFmtId="176" fontId="4" fillId="12" borderId="295" xfId="3" applyNumberFormat="1" applyFont="1" applyFill="1" applyBorder="1" applyAlignment="1" applyProtection="1">
      <alignment horizontal="center" vertical="center" wrapText="1"/>
      <protection hidden="1"/>
    </xf>
    <xf numFmtId="176" fontId="4" fillId="18" borderId="220" xfId="3" applyNumberFormat="1" applyFont="1" applyFill="1" applyBorder="1" applyAlignment="1" applyProtection="1">
      <alignment horizontal="center" vertical="center" wrapText="1"/>
      <protection hidden="1"/>
    </xf>
    <xf numFmtId="176" fontId="4" fillId="18" borderId="150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140" xfId="3" applyNumberFormat="1" applyFont="1" applyFill="1" applyBorder="1" applyAlignment="1" applyProtection="1">
      <alignment horizontal="center" vertical="center" wrapText="1"/>
      <protection hidden="1"/>
    </xf>
    <xf numFmtId="0" fontId="1" fillId="23" borderId="150" xfId="3" applyFill="1" applyBorder="1" applyProtection="1">
      <alignment vertical="center"/>
      <protection hidden="1"/>
    </xf>
    <xf numFmtId="41" fontId="2" fillId="23" borderId="219" xfId="3" applyNumberFormat="1" applyFont="1" applyFill="1" applyBorder="1" applyAlignment="1" applyProtection="1">
      <alignment horizontal="center" vertical="center"/>
      <protection hidden="1"/>
    </xf>
    <xf numFmtId="0" fontId="4" fillId="14" borderId="273" xfId="3" applyFont="1" applyFill="1" applyBorder="1" applyAlignment="1" applyProtection="1">
      <alignment horizontal="center" vertical="center" wrapText="1"/>
      <protection hidden="1"/>
    </xf>
    <xf numFmtId="0" fontId="4" fillId="14" borderId="82" xfId="3" applyFont="1" applyFill="1" applyBorder="1" applyAlignment="1" applyProtection="1">
      <alignment horizontal="center" vertical="center" wrapText="1"/>
      <protection hidden="1"/>
    </xf>
    <xf numFmtId="0" fontId="4" fillId="14" borderId="83" xfId="3" applyFont="1" applyFill="1" applyBorder="1" applyAlignment="1" applyProtection="1">
      <alignment horizontal="center" vertical="center" wrapText="1"/>
      <protection hidden="1"/>
    </xf>
    <xf numFmtId="0" fontId="4" fillId="14" borderId="310" xfId="3" applyFont="1" applyFill="1" applyBorder="1" applyAlignment="1" applyProtection="1">
      <alignment horizontal="center" vertical="center" wrapText="1"/>
      <protection hidden="1"/>
    </xf>
    <xf numFmtId="0" fontId="4" fillId="14" borderId="311" xfId="3" applyFont="1" applyFill="1" applyBorder="1" applyAlignment="1" applyProtection="1">
      <alignment horizontal="center" vertical="center" wrapText="1"/>
      <protection hidden="1"/>
    </xf>
    <xf numFmtId="0" fontId="4" fillId="23" borderId="51" xfId="3" applyFont="1" applyFill="1" applyBorder="1" applyAlignment="1" applyProtection="1">
      <alignment horizontal="center" vertical="center" wrapText="1"/>
      <protection hidden="1"/>
    </xf>
    <xf numFmtId="0" fontId="4" fillId="23" borderId="52" xfId="3" applyFont="1" applyFill="1" applyBorder="1" applyAlignment="1" applyProtection="1">
      <alignment horizontal="center" vertical="center" wrapText="1"/>
      <protection hidden="1"/>
    </xf>
    <xf numFmtId="0" fontId="4" fillId="23" borderId="414" xfId="3" applyFont="1" applyFill="1" applyBorder="1" applyAlignment="1" applyProtection="1">
      <alignment horizontal="center" vertical="center" wrapText="1"/>
      <protection hidden="1"/>
    </xf>
    <xf numFmtId="0" fontId="4" fillId="23" borderId="53" xfId="3" applyFont="1" applyFill="1" applyBorder="1" applyAlignment="1" applyProtection="1">
      <alignment horizontal="center" vertical="center" wrapText="1"/>
      <protection hidden="1"/>
    </xf>
    <xf numFmtId="0" fontId="1" fillId="23" borderId="415" xfId="3" applyFill="1" applyBorder="1" applyProtection="1">
      <alignment vertical="center"/>
      <protection hidden="1"/>
    </xf>
    <xf numFmtId="0" fontId="1" fillId="18" borderId="405" xfId="3" applyFill="1" applyBorder="1" applyAlignment="1" applyProtection="1">
      <alignment horizontal="center" vertical="center"/>
      <protection hidden="1"/>
    </xf>
    <xf numFmtId="0" fontId="4" fillId="23" borderId="373" xfId="3" applyFont="1" applyFill="1" applyBorder="1" applyProtection="1">
      <alignment vertical="center"/>
      <protection hidden="1"/>
    </xf>
    <xf numFmtId="0" fontId="1" fillId="2" borderId="421" xfId="3" applyFill="1" applyBorder="1" applyAlignment="1" applyProtection="1">
      <alignment horizontal="center" vertical="center"/>
      <protection hidden="1"/>
    </xf>
    <xf numFmtId="0" fontId="1" fillId="2" borderId="422" xfId="3" applyFill="1" applyBorder="1" applyAlignment="1" applyProtection="1">
      <alignment horizontal="center" vertical="center"/>
      <protection hidden="1"/>
    </xf>
    <xf numFmtId="0" fontId="1" fillId="2" borderId="423" xfId="3" applyFill="1" applyBorder="1" applyAlignment="1" applyProtection="1">
      <alignment horizontal="center" vertical="center"/>
      <protection hidden="1"/>
    </xf>
    <xf numFmtId="0" fontId="1" fillId="2" borderId="420" xfId="3" applyFill="1" applyBorder="1" applyAlignment="1" applyProtection="1">
      <alignment horizontal="center" vertical="center"/>
      <protection hidden="1"/>
    </xf>
    <xf numFmtId="0" fontId="1" fillId="2" borderId="426" xfId="3" applyFill="1" applyBorder="1" applyAlignment="1" applyProtection="1">
      <alignment horizontal="center" vertical="center"/>
      <protection hidden="1"/>
    </xf>
    <xf numFmtId="41" fontId="2" fillId="2" borderId="428" xfId="5" applyFont="1" applyFill="1" applyBorder="1" applyAlignment="1" applyProtection="1">
      <alignment horizontal="center" vertical="center"/>
      <protection hidden="1"/>
    </xf>
    <xf numFmtId="0" fontId="1" fillId="23" borderId="146" xfId="3" applyFill="1" applyBorder="1" applyProtection="1">
      <alignment vertical="center"/>
      <protection hidden="1"/>
    </xf>
    <xf numFmtId="0" fontId="15" fillId="23" borderId="431" xfId="3" applyFont="1" applyFill="1" applyBorder="1" applyAlignment="1" applyProtection="1">
      <alignment vertical="center"/>
      <protection hidden="1"/>
    </xf>
    <xf numFmtId="0" fontId="15" fillId="23" borderId="432" xfId="3" applyFont="1" applyFill="1" applyBorder="1" applyAlignment="1" applyProtection="1">
      <alignment vertical="center"/>
      <protection hidden="1"/>
    </xf>
    <xf numFmtId="0" fontId="15" fillId="23" borderId="433" xfId="3" applyFont="1" applyFill="1" applyBorder="1" applyAlignment="1" applyProtection="1">
      <alignment vertical="center"/>
      <protection hidden="1"/>
    </xf>
    <xf numFmtId="0" fontId="4" fillId="4" borderId="114" xfId="0" applyFont="1" applyFill="1" applyBorder="1" applyAlignment="1" applyProtection="1">
      <alignment horizontal="center" vertical="center" wrapText="1"/>
      <protection hidden="1"/>
    </xf>
    <xf numFmtId="0" fontId="4" fillId="4" borderId="115" xfId="0" applyFont="1" applyFill="1" applyBorder="1" applyAlignment="1" applyProtection="1">
      <alignment horizontal="center" vertical="center" wrapText="1"/>
      <protection hidden="1"/>
    </xf>
    <xf numFmtId="0" fontId="4" fillId="4" borderId="116" xfId="0" applyFont="1" applyFill="1" applyBorder="1" applyAlignment="1" applyProtection="1">
      <alignment horizontal="center" vertical="center" wrapText="1"/>
      <protection hidden="1"/>
    </xf>
    <xf numFmtId="0" fontId="3" fillId="12" borderId="171" xfId="0" applyFont="1" applyFill="1" applyBorder="1" applyAlignment="1" applyProtection="1">
      <alignment horizontal="center" vertical="center" wrapText="1"/>
      <protection hidden="1"/>
    </xf>
    <xf numFmtId="0" fontId="3" fillId="12" borderId="239" xfId="0" applyFont="1" applyFill="1" applyBorder="1" applyAlignment="1" applyProtection="1">
      <alignment horizontal="center" vertical="center" wrapText="1"/>
      <protection hidden="1"/>
    </xf>
    <xf numFmtId="0" fontId="3" fillId="12" borderId="132" xfId="0" applyFont="1" applyFill="1" applyBorder="1" applyAlignment="1" applyProtection="1">
      <alignment horizontal="center" vertical="center" wrapText="1"/>
      <protection hidden="1"/>
    </xf>
    <xf numFmtId="0" fontId="3" fillId="12" borderId="14" xfId="0" applyFont="1" applyFill="1" applyBorder="1" applyAlignment="1" applyProtection="1">
      <alignment horizontal="center" vertical="center" wrapText="1"/>
      <protection hidden="1"/>
    </xf>
    <xf numFmtId="0" fontId="4" fillId="3" borderId="123" xfId="0" applyFont="1" applyFill="1" applyBorder="1" applyAlignment="1" applyProtection="1">
      <alignment horizontal="center" vertical="center" wrapText="1"/>
      <protection hidden="1"/>
    </xf>
    <xf numFmtId="0" fontId="4" fillId="3" borderId="96" xfId="0" applyFont="1" applyFill="1" applyBorder="1" applyAlignment="1" applyProtection="1">
      <alignment horizontal="center" vertical="center" wrapText="1"/>
      <protection hidden="1"/>
    </xf>
    <xf numFmtId="0" fontId="4" fillId="6" borderId="174" xfId="0" applyFont="1" applyFill="1" applyBorder="1" applyAlignment="1" applyProtection="1">
      <alignment horizontal="center" vertical="center" wrapText="1"/>
      <protection hidden="1"/>
    </xf>
    <xf numFmtId="0" fontId="4" fillId="6" borderId="90" xfId="0" applyFont="1" applyFill="1" applyBorder="1" applyAlignment="1" applyProtection="1">
      <alignment horizontal="center" vertical="center"/>
      <protection hidden="1"/>
    </xf>
    <xf numFmtId="0" fontId="4" fillId="13" borderId="179" xfId="0" applyFont="1" applyFill="1" applyBorder="1" applyAlignment="1" applyProtection="1">
      <alignment horizontal="center" vertical="center" wrapText="1"/>
      <protection locked="0"/>
    </xf>
    <xf numFmtId="0" fontId="4" fillId="13" borderId="57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6" fillId="0" borderId="0" xfId="0" applyFont="1" applyAlignment="1">
      <alignment horizontal="center" vertical="center"/>
    </xf>
    <xf numFmtId="0" fontId="3" fillId="12" borderId="54" xfId="0" applyFont="1" applyFill="1" applyBorder="1" applyAlignment="1" applyProtection="1">
      <alignment horizontal="center" vertical="center" wrapText="1"/>
      <protection hidden="1"/>
    </xf>
    <xf numFmtId="0" fontId="3" fillId="12" borderId="16" xfId="0" applyFont="1" applyFill="1" applyBorder="1" applyAlignment="1" applyProtection="1">
      <alignment horizontal="center" vertical="center" wrapText="1"/>
      <protection hidden="1"/>
    </xf>
    <xf numFmtId="0" fontId="3" fillId="12" borderId="150" xfId="0" applyFont="1" applyFill="1" applyBorder="1" applyAlignment="1" applyProtection="1">
      <alignment horizontal="center" vertical="center" wrapText="1"/>
      <protection hidden="1"/>
    </xf>
    <xf numFmtId="0" fontId="4" fillId="4" borderId="97" xfId="0" applyFont="1" applyFill="1" applyBorder="1" applyAlignment="1" applyProtection="1">
      <alignment horizontal="center" vertical="center" wrapText="1"/>
      <protection hidden="1"/>
    </xf>
    <xf numFmtId="0" fontId="4" fillId="4" borderId="155" xfId="0" applyFont="1" applyFill="1" applyBorder="1" applyAlignment="1" applyProtection="1">
      <alignment horizontal="center" vertical="center" wrapText="1"/>
      <protection hidden="1"/>
    </xf>
    <xf numFmtId="0" fontId="4" fillId="4" borderId="113" xfId="0" applyFont="1" applyFill="1" applyBorder="1" applyAlignment="1" applyProtection="1">
      <alignment horizontal="center" vertical="center" wrapText="1"/>
      <protection hidden="1"/>
    </xf>
    <xf numFmtId="0" fontId="4" fillId="4" borderId="153" xfId="0" applyFont="1" applyFill="1" applyBorder="1" applyAlignment="1" applyProtection="1">
      <alignment horizontal="center" vertical="center" wrapText="1"/>
      <protection hidden="1"/>
    </xf>
    <xf numFmtId="0" fontId="4" fillId="4" borderId="142" xfId="0" applyFont="1" applyFill="1" applyBorder="1" applyAlignment="1" applyProtection="1">
      <alignment horizontal="center" vertical="center" wrapText="1"/>
      <protection hidden="1"/>
    </xf>
    <xf numFmtId="0" fontId="4" fillId="4" borderId="152" xfId="0" applyFont="1" applyFill="1" applyBorder="1" applyAlignment="1" applyProtection="1">
      <alignment horizontal="center" vertical="center" wrapText="1"/>
      <protection hidden="1"/>
    </xf>
    <xf numFmtId="0" fontId="4" fillId="4" borderId="132" xfId="0" applyFont="1" applyFill="1" applyBorder="1" applyAlignment="1" applyProtection="1">
      <alignment horizontal="center" vertical="center" wrapText="1"/>
      <protection hidden="1"/>
    </xf>
    <xf numFmtId="0" fontId="4" fillId="4" borderId="14" xfId="0" applyFont="1" applyFill="1" applyBorder="1" applyAlignment="1" applyProtection="1">
      <alignment horizontal="center" vertical="center" wrapText="1"/>
      <protection hidden="1"/>
    </xf>
    <xf numFmtId="0" fontId="4" fillId="4" borderId="164" xfId="0" applyFont="1" applyFill="1" applyBorder="1" applyAlignment="1" applyProtection="1">
      <alignment horizontal="center" vertical="center" wrapText="1"/>
      <protection hidden="1"/>
    </xf>
    <xf numFmtId="0" fontId="4" fillId="4" borderId="138" xfId="0" applyFont="1" applyFill="1" applyBorder="1" applyAlignment="1" applyProtection="1">
      <alignment horizontal="center" vertical="center" wrapText="1"/>
      <protection hidden="1"/>
    </xf>
    <xf numFmtId="0" fontId="4" fillId="4" borderId="139" xfId="0" applyFont="1" applyFill="1" applyBorder="1" applyAlignment="1" applyProtection="1">
      <alignment horizontal="center" vertical="center" wrapText="1"/>
      <protection hidden="1"/>
    </xf>
    <xf numFmtId="0" fontId="4" fillId="4" borderId="140" xfId="0" applyFont="1" applyFill="1" applyBorder="1" applyAlignment="1" applyProtection="1">
      <alignment horizontal="center" vertical="center" wrapText="1"/>
      <protection hidden="1"/>
    </xf>
    <xf numFmtId="0" fontId="4" fillId="4" borderId="141" xfId="0" applyFont="1" applyFill="1" applyBorder="1" applyAlignment="1" applyProtection="1">
      <alignment horizontal="center" vertical="center" wrapText="1"/>
      <protection hidden="1"/>
    </xf>
    <xf numFmtId="0" fontId="4" fillId="4" borderId="13" xfId="0" applyFont="1" applyFill="1" applyBorder="1" applyAlignment="1" applyProtection="1">
      <alignment horizontal="center" vertical="center" wrapText="1"/>
      <protection hidden="1"/>
    </xf>
    <xf numFmtId="0" fontId="3" fillId="4" borderId="138" xfId="0" applyFont="1" applyFill="1" applyBorder="1" applyAlignment="1" applyProtection="1">
      <alignment horizontal="center" vertical="center" wrapText="1"/>
      <protection hidden="1"/>
    </xf>
    <xf numFmtId="0" fontId="3" fillId="4" borderId="139" xfId="0" applyFont="1" applyFill="1" applyBorder="1" applyAlignment="1" applyProtection="1">
      <alignment horizontal="center" vertical="center" wrapText="1"/>
      <protection hidden="1"/>
    </xf>
    <xf numFmtId="0" fontId="3" fillId="4" borderId="135" xfId="0" applyFont="1" applyFill="1" applyBorder="1" applyAlignment="1" applyProtection="1">
      <alignment horizontal="center" vertical="center" wrapText="1"/>
      <protection hidden="1"/>
    </xf>
    <xf numFmtId="0" fontId="3" fillId="4" borderId="93" xfId="0" applyFont="1" applyFill="1" applyBorder="1" applyAlignment="1" applyProtection="1">
      <alignment horizontal="center" vertical="center" wrapText="1"/>
      <protection hidden="1"/>
    </xf>
    <xf numFmtId="0" fontId="3" fillId="4" borderId="140" xfId="0" applyFont="1" applyFill="1" applyBorder="1" applyAlignment="1" applyProtection="1">
      <alignment horizontal="center" vertical="center" wrapText="1"/>
      <protection hidden="1"/>
    </xf>
    <xf numFmtId="0" fontId="3" fillId="4" borderId="141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Alignment="1">
      <alignment horizontal="left" vertical="center"/>
    </xf>
    <xf numFmtId="0" fontId="4" fillId="2" borderId="182" xfId="0" applyFont="1" applyFill="1" applyBorder="1" applyAlignment="1" applyProtection="1">
      <alignment horizontal="center" vertical="center" wrapText="1"/>
      <protection hidden="1"/>
    </xf>
    <xf numFmtId="0" fontId="4" fillId="2" borderId="66" xfId="0" applyFont="1" applyFill="1" applyBorder="1" applyAlignment="1" applyProtection="1">
      <alignment horizontal="center" vertical="center"/>
      <protection hidden="1"/>
    </xf>
    <xf numFmtId="0" fontId="0" fillId="2" borderId="102" xfId="0" applyFill="1" applyBorder="1" applyAlignment="1" applyProtection="1">
      <alignment horizontal="center" vertical="center"/>
      <protection hidden="1"/>
    </xf>
    <xf numFmtId="0" fontId="0" fillId="2" borderId="154" xfId="0" applyFill="1" applyBorder="1" applyAlignment="1" applyProtection="1">
      <alignment horizontal="center" vertical="center"/>
      <protection hidden="1"/>
    </xf>
    <xf numFmtId="0" fontId="0" fillId="2" borderId="103" xfId="0" applyFill="1" applyBorder="1" applyAlignment="1" applyProtection="1">
      <alignment horizontal="center" vertical="center"/>
      <protection hidden="1"/>
    </xf>
    <xf numFmtId="0" fontId="9" fillId="4" borderId="113" xfId="0" applyFont="1" applyFill="1" applyBorder="1" applyAlignment="1" applyProtection="1">
      <alignment horizontal="center" vertical="center" shrinkToFit="1"/>
      <protection hidden="1"/>
    </xf>
    <xf numFmtId="0" fontId="9" fillId="4" borderId="153" xfId="0" applyFont="1" applyFill="1" applyBorder="1" applyAlignment="1" applyProtection="1">
      <alignment horizontal="center" vertical="center" shrinkToFit="1"/>
      <protection hidden="1"/>
    </xf>
    <xf numFmtId="0" fontId="4" fillId="9" borderId="183" xfId="0" applyFont="1" applyFill="1" applyBorder="1" applyAlignment="1" applyProtection="1">
      <alignment horizontal="center" vertical="center" wrapText="1"/>
      <protection hidden="1"/>
    </xf>
    <xf numFmtId="0" fontId="4" fillId="9" borderId="150" xfId="0" applyFont="1" applyFill="1" applyBorder="1" applyAlignment="1" applyProtection="1">
      <alignment horizontal="center" vertical="center" wrapText="1"/>
      <protection hidden="1"/>
    </xf>
    <xf numFmtId="0" fontId="4" fillId="9" borderId="184" xfId="0" applyFont="1" applyFill="1" applyBorder="1" applyAlignment="1" applyProtection="1">
      <alignment horizontal="center" vertical="center" wrapText="1"/>
      <protection hidden="1"/>
    </xf>
    <xf numFmtId="0" fontId="4" fillId="9" borderId="144" xfId="0" applyFont="1" applyFill="1" applyBorder="1" applyAlignment="1" applyProtection="1">
      <alignment horizontal="center" vertical="center" wrapText="1"/>
      <protection hidden="1"/>
    </xf>
    <xf numFmtId="0" fontId="4" fillId="9" borderId="140" xfId="0" applyFont="1" applyFill="1" applyBorder="1" applyAlignment="1" applyProtection="1">
      <alignment horizontal="center" vertical="center" wrapText="1"/>
      <protection hidden="1"/>
    </xf>
    <xf numFmtId="0" fontId="4" fillId="9" borderId="80" xfId="0" applyFont="1" applyFill="1" applyBorder="1" applyAlignment="1" applyProtection="1">
      <alignment horizontal="center" vertical="center" wrapText="1"/>
      <protection hidden="1"/>
    </xf>
    <xf numFmtId="0" fontId="4" fillId="2" borderId="178" xfId="0" applyFont="1" applyFill="1" applyBorder="1" applyAlignment="1" applyProtection="1">
      <alignment horizontal="center" vertical="center" wrapText="1"/>
      <protection hidden="1"/>
    </xf>
    <xf numFmtId="0" fontId="4" fillId="2" borderId="103" xfId="0" applyFont="1" applyFill="1" applyBorder="1" applyAlignment="1" applyProtection="1">
      <alignment horizontal="center" vertical="center"/>
      <protection hidden="1"/>
    </xf>
    <xf numFmtId="0" fontId="4" fillId="9" borderId="260" xfId="0" applyFont="1" applyFill="1" applyBorder="1" applyAlignment="1" applyProtection="1">
      <alignment horizontal="center" vertical="center" wrapText="1"/>
      <protection locked="0"/>
    </xf>
    <xf numFmtId="0" fontId="4" fillId="9" borderId="147" xfId="0" applyFont="1" applyFill="1" applyBorder="1" applyAlignment="1" applyProtection="1">
      <alignment horizontal="center" vertical="center" wrapText="1"/>
      <protection locked="0"/>
    </xf>
    <xf numFmtId="0" fontId="4" fillId="9" borderId="261" xfId="0" applyFont="1" applyFill="1" applyBorder="1" applyAlignment="1" applyProtection="1">
      <alignment horizontal="center" vertical="center" wrapText="1"/>
      <protection locked="0"/>
    </xf>
    <xf numFmtId="0" fontId="3" fillId="12" borderId="138" xfId="0" applyFont="1" applyFill="1" applyBorder="1" applyAlignment="1" applyProtection="1">
      <alignment horizontal="center" vertical="center" wrapText="1"/>
      <protection hidden="1"/>
    </xf>
    <xf numFmtId="0" fontId="3" fillId="12" borderId="135" xfId="0" applyFont="1" applyFill="1" applyBorder="1" applyAlignment="1" applyProtection="1">
      <alignment horizontal="center" vertical="center" wrapText="1"/>
      <protection hidden="1"/>
    </xf>
    <xf numFmtId="0" fontId="3" fillId="12" borderId="140" xfId="0" applyFont="1" applyFill="1" applyBorder="1" applyAlignment="1" applyProtection="1">
      <alignment horizontal="center" vertical="center" wrapText="1"/>
      <protection hidden="1"/>
    </xf>
    <xf numFmtId="0" fontId="4" fillId="15" borderId="180" xfId="0" applyFont="1" applyFill="1" applyBorder="1" applyAlignment="1" applyProtection="1">
      <alignment horizontal="center" vertical="center" wrapText="1"/>
      <protection hidden="1"/>
    </xf>
    <xf numFmtId="0" fontId="4" fillId="15" borderId="181" xfId="0" applyFont="1" applyFill="1" applyBorder="1" applyAlignment="1" applyProtection="1">
      <alignment horizontal="center" vertical="center"/>
      <protection hidden="1"/>
    </xf>
    <xf numFmtId="0" fontId="4" fillId="9" borderId="275" xfId="0" applyFont="1" applyFill="1" applyBorder="1" applyAlignment="1" applyProtection="1">
      <alignment horizontal="center" vertical="center" wrapText="1"/>
      <protection locked="0"/>
    </xf>
    <xf numFmtId="0" fontId="4" fillId="9" borderId="276" xfId="0" applyFont="1" applyFill="1" applyBorder="1" applyAlignment="1" applyProtection="1">
      <alignment horizontal="center" vertical="center" wrapText="1"/>
      <protection locked="0"/>
    </xf>
    <xf numFmtId="0" fontId="4" fillId="9" borderId="148" xfId="0" applyFont="1" applyFill="1" applyBorder="1" applyAlignment="1" applyProtection="1">
      <alignment horizontal="center" vertical="center" wrapText="1"/>
      <protection locked="0"/>
    </xf>
    <xf numFmtId="0" fontId="4" fillId="2" borderId="66" xfId="0" applyFont="1" applyFill="1" applyBorder="1" applyAlignment="1" applyProtection="1">
      <alignment horizontal="center" vertical="center" wrapText="1"/>
      <protection hidden="1"/>
    </xf>
    <xf numFmtId="0" fontId="4" fillId="6" borderId="185" xfId="0" applyFont="1" applyFill="1" applyBorder="1" applyAlignment="1" applyProtection="1">
      <alignment horizontal="center" vertical="center" wrapText="1"/>
      <protection hidden="1"/>
    </xf>
    <xf numFmtId="0" fontId="4" fillId="6" borderId="87" xfId="0" applyFont="1" applyFill="1" applyBorder="1" applyAlignment="1" applyProtection="1">
      <alignment horizontal="center" vertical="center"/>
      <protection hidden="1"/>
    </xf>
    <xf numFmtId="0" fontId="10" fillId="3" borderId="182" xfId="0" applyFont="1" applyFill="1" applyBorder="1" applyAlignment="1" applyProtection="1">
      <alignment horizontal="center" vertical="center" wrapText="1"/>
      <protection hidden="1"/>
    </xf>
    <xf numFmtId="0" fontId="10" fillId="3" borderId="66" xfId="0" applyFont="1" applyFill="1" applyBorder="1" applyAlignment="1" applyProtection="1">
      <alignment horizontal="center" vertical="center"/>
      <protection hidden="1"/>
    </xf>
    <xf numFmtId="0" fontId="4" fillId="18" borderId="252" xfId="0" applyFont="1" applyFill="1" applyBorder="1" applyAlignment="1" applyProtection="1">
      <alignment horizontal="center" vertical="center" wrapText="1"/>
      <protection locked="0"/>
    </xf>
    <xf numFmtId="0" fontId="4" fillId="18" borderId="253" xfId="0" applyFont="1" applyFill="1" applyBorder="1" applyAlignment="1" applyProtection="1">
      <alignment horizontal="center" vertical="center" wrapText="1"/>
      <protection locked="0"/>
    </xf>
    <xf numFmtId="0" fontId="4" fillId="9" borderId="143" xfId="0" applyFont="1" applyFill="1" applyBorder="1" applyAlignment="1" applyProtection="1">
      <alignment horizontal="center" vertical="center" wrapText="1"/>
      <protection hidden="1"/>
    </xf>
    <xf numFmtId="0" fontId="4" fillId="9" borderId="145" xfId="0" applyFont="1" applyFill="1" applyBorder="1" applyAlignment="1" applyProtection="1">
      <alignment horizontal="center" vertical="center" wrapText="1"/>
      <protection hidden="1"/>
    </xf>
    <xf numFmtId="0" fontId="4" fillId="9" borderId="146" xfId="0" applyFont="1" applyFill="1" applyBorder="1" applyAlignment="1" applyProtection="1">
      <alignment horizontal="center" vertical="center" wrapText="1"/>
      <protection hidden="1"/>
    </xf>
    <xf numFmtId="0" fontId="4" fillId="9" borderId="141" xfId="0" applyFont="1" applyFill="1" applyBorder="1" applyAlignment="1" applyProtection="1">
      <alignment horizontal="center" vertical="center" wrapText="1"/>
      <protection hidden="1"/>
    </xf>
    <xf numFmtId="0" fontId="3" fillId="12" borderId="175" xfId="0" applyFont="1" applyFill="1" applyBorder="1" applyAlignment="1" applyProtection="1">
      <alignment horizontal="center" vertical="center" wrapText="1"/>
      <protection hidden="1"/>
    </xf>
    <xf numFmtId="0" fontId="3" fillId="12" borderId="176" xfId="0" applyFont="1" applyFill="1" applyBorder="1" applyAlignment="1" applyProtection="1">
      <alignment horizontal="center" vertical="center" wrapText="1"/>
      <protection hidden="1"/>
    </xf>
    <xf numFmtId="0" fontId="3" fillId="12" borderId="177" xfId="0" applyFont="1" applyFill="1" applyBorder="1" applyAlignment="1" applyProtection="1">
      <alignment horizontal="center" vertical="center" wrapText="1"/>
      <protection hidden="1"/>
    </xf>
    <xf numFmtId="0" fontId="16" fillId="8" borderId="113" xfId="0" applyFont="1" applyFill="1" applyBorder="1" applyAlignment="1" applyProtection="1">
      <alignment horizontal="center" vertical="center" wrapText="1"/>
      <protection locked="0" hidden="1"/>
    </xf>
    <xf numFmtId="0" fontId="16" fillId="8" borderId="153" xfId="0" applyFont="1" applyFill="1" applyBorder="1" applyAlignment="1" applyProtection="1">
      <alignment horizontal="center" vertical="center" wrapText="1"/>
      <protection locked="0" hidden="1"/>
    </xf>
    <xf numFmtId="0" fontId="16" fillId="20" borderId="97" xfId="0" applyFont="1" applyFill="1" applyBorder="1" applyAlignment="1" applyProtection="1">
      <alignment horizontal="center" vertical="center" wrapText="1"/>
      <protection locked="0" hidden="1"/>
    </xf>
    <xf numFmtId="0" fontId="16" fillId="20" borderId="155" xfId="0" applyFont="1" applyFill="1" applyBorder="1" applyAlignment="1" applyProtection="1">
      <alignment horizontal="center" vertical="center" wrapText="1"/>
      <protection locked="0" hidden="1"/>
    </xf>
    <xf numFmtId="0" fontId="0" fillId="2" borderId="167" xfId="0" applyFill="1" applyBorder="1" applyAlignment="1" applyProtection="1">
      <alignment horizontal="center" vertical="center"/>
      <protection hidden="1"/>
    </xf>
    <xf numFmtId="0" fontId="0" fillId="2" borderId="135" xfId="0" applyFill="1" applyBorder="1" applyAlignment="1" applyProtection="1">
      <alignment horizontal="center" vertical="center"/>
      <protection hidden="1"/>
    </xf>
    <xf numFmtId="176" fontId="3" fillId="18" borderId="259" xfId="0" applyNumberFormat="1" applyFont="1" applyFill="1" applyBorder="1" applyAlignment="1" applyProtection="1">
      <alignment horizontal="center" vertical="center" wrapText="1"/>
      <protection hidden="1"/>
    </xf>
    <xf numFmtId="176" fontId="3" fillId="18" borderId="253" xfId="0" applyNumberFormat="1" applyFont="1" applyFill="1" applyBorder="1" applyAlignment="1" applyProtection="1">
      <alignment horizontal="center" vertical="center" wrapText="1"/>
      <protection hidden="1"/>
    </xf>
    <xf numFmtId="0" fontId="4" fillId="14" borderId="112" xfId="0" applyFont="1" applyFill="1" applyBorder="1" applyAlignment="1" applyProtection="1">
      <alignment horizontal="center" vertical="center" wrapText="1"/>
      <protection hidden="1"/>
    </xf>
    <xf numFmtId="0" fontId="4" fillId="14" borderId="82" xfId="0" applyFont="1" applyFill="1" applyBorder="1" applyAlignment="1" applyProtection="1">
      <alignment horizontal="center" vertical="center" wrapText="1"/>
      <protection hidden="1"/>
    </xf>
    <xf numFmtId="0" fontId="3" fillId="12" borderId="194" xfId="0" applyFont="1" applyFill="1" applyBorder="1" applyAlignment="1" applyProtection="1">
      <alignment horizontal="center" vertical="center" wrapText="1"/>
      <protection hidden="1"/>
    </xf>
    <xf numFmtId="0" fontId="3" fillId="12" borderId="28" xfId="0" applyFont="1" applyFill="1" applyBorder="1" applyAlignment="1" applyProtection="1">
      <alignment horizontal="center" vertical="center" wrapText="1"/>
      <protection hidden="1"/>
    </xf>
    <xf numFmtId="0" fontId="3" fillId="0" borderId="158" xfId="0" applyFont="1" applyBorder="1" applyAlignment="1" applyProtection="1">
      <alignment horizontal="left" vertical="center" shrinkToFit="1"/>
      <protection locked="0"/>
    </xf>
    <xf numFmtId="0" fontId="3" fillId="0" borderId="159" xfId="0" applyFont="1" applyBorder="1" applyAlignment="1" applyProtection="1">
      <alignment horizontal="left" vertical="center" shrinkToFit="1"/>
      <protection locked="0"/>
    </xf>
    <xf numFmtId="0" fontId="3" fillId="0" borderId="160" xfId="0" applyFont="1" applyBorder="1" applyAlignment="1" applyProtection="1">
      <alignment horizontal="left" vertical="center" shrinkToFit="1"/>
      <protection locked="0"/>
    </xf>
    <xf numFmtId="179" fontId="3" fillId="0" borderId="191" xfId="0" applyNumberFormat="1" applyFont="1" applyBorder="1" applyAlignment="1" applyProtection="1">
      <alignment horizontal="left" vertical="center" shrinkToFit="1"/>
      <protection locked="0"/>
    </xf>
    <xf numFmtId="0" fontId="3" fillId="0" borderId="192" xfId="0" applyFont="1" applyBorder="1" applyAlignment="1" applyProtection="1">
      <alignment horizontal="left" vertical="center" shrinkToFit="1"/>
      <protection locked="0"/>
    </xf>
    <xf numFmtId="0" fontId="3" fillId="0" borderId="193" xfId="0" applyFont="1" applyBorder="1" applyAlignment="1" applyProtection="1">
      <alignment horizontal="left" vertical="center" shrinkToFit="1"/>
      <protection locked="0"/>
    </xf>
    <xf numFmtId="0" fontId="3" fillId="0" borderId="195" xfId="0" applyFont="1" applyBorder="1" applyAlignment="1" applyProtection="1">
      <alignment horizontal="left" vertical="center" shrinkToFit="1"/>
      <protection locked="0"/>
    </xf>
    <xf numFmtId="0" fontId="3" fillId="0" borderId="196" xfId="0" applyFont="1" applyBorder="1" applyAlignment="1" applyProtection="1">
      <alignment horizontal="left" vertical="center" shrinkToFit="1"/>
      <protection locked="0"/>
    </xf>
    <xf numFmtId="0" fontId="3" fillId="0" borderId="197" xfId="0" applyFont="1" applyBorder="1" applyAlignment="1" applyProtection="1">
      <alignment horizontal="left" vertical="center" shrinkToFit="1"/>
      <protection locked="0"/>
    </xf>
    <xf numFmtId="0" fontId="4" fillId="4" borderId="137" xfId="0" applyFont="1" applyFill="1" applyBorder="1" applyAlignment="1" applyProtection="1">
      <alignment horizontal="center" vertical="center" wrapText="1"/>
      <protection hidden="1"/>
    </xf>
    <xf numFmtId="37" fontId="2" fillId="7" borderId="135" xfId="0" applyNumberFormat="1" applyFont="1" applyFill="1" applyBorder="1" applyAlignment="1" applyProtection="1">
      <alignment horizontal="center" vertical="center" wrapText="1"/>
      <protection hidden="1"/>
    </xf>
    <xf numFmtId="0" fontId="2" fillId="7" borderId="0" xfId="0" applyFont="1" applyFill="1" applyAlignment="1" applyProtection="1">
      <alignment horizontal="center" vertical="center" wrapText="1"/>
      <protection hidden="1"/>
    </xf>
    <xf numFmtId="0" fontId="0" fillId="2" borderId="64" xfId="0" applyFill="1" applyBorder="1" applyAlignment="1" applyProtection="1">
      <alignment horizontal="center" vertical="center"/>
      <protection hidden="1"/>
    </xf>
    <xf numFmtId="0" fontId="0" fillId="2" borderId="65" xfId="0" applyFill="1" applyBorder="1" applyAlignment="1" applyProtection="1">
      <alignment horizontal="center" vertical="center"/>
      <protection hidden="1"/>
    </xf>
    <xf numFmtId="0" fontId="0" fillId="2" borderId="66" xfId="0" applyFill="1" applyBorder="1" applyAlignment="1" applyProtection="1">
      <alignment horizontal="center" vertical="center"/>
      <protection hidden="1"/>
    </xf>
    <xf numFmtId="0" fontId="0" fillId="3" borderId="173" xfId="0" applyFill="1" applyBorder="1" applyAlignment="1" applyProtection="1">
      <alignment horizontal="center" vertical="center"/>
      <protection hidden="1"/>
    </xf>
    <xf numFmtId="0" fontId="5" fillId="3" borderId="124" xfId="0" applyFont="1" applyFill="1" applyBorder="1" applyAlignment="1" applyProtection="1">
      <alignment horizontal="center" vertical="center" wrapText="1"/>
      <protection hidden="1"/>
    </xf>
    <xf numFmtId="0" fontId="5" fillId="3" borderId="125" xfId="0" applyFont="1" applyFill="1" applyBorder="1" applyAlignment="1" applyProtection="1">
      <alignment horizontal="center" vertical="center" wrapText="1"/>
      <protection hidden="1"/>
    </xf>
    <xf numFmtId="0" fontId="4" fillId="3" borderId="126" xfId="0" applyFont="1" applyFill="1" applyBorder="1" applyAlignment="1" applyProtection="1">
      <alignment horizontal="center" vertical="center" wrapText="1"/>
      <protection hidden="1"/>
    </xf>
    <xf numFmtId="0" fontId="4" fillId="3" borderId="127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3" fillId="12" borderId="156" xfId="0" applyFont="1" applyFill="1" applyBorder="1" applyAlignment="1" applyProtection="1">
      <alignment horizontal="center" vertical="center" wrapText="1"/>
      <protection hidden="1"/>
    </xf>
    <xf numFmtId="0" fontId="3" fillId="12" borderId="157" xfId="0" applyFont="1" applyFill="1" applyBorder="1" applyAlignment="1" applyProtection="1">
      <alignment horizontal="center" vertical="center" wrapText="1"/>
      <protection hidden="1"/>
    </xf>
    <xf numFmtId="0" fontId="3" fillId="12" borderId="241" xfId="0" applyFont="1" applyFill="1" applyBorder="1" applyAlignment="1" applyProtection="1">
      <alignment horizontal="center" vertical="center" wrapText="1"/>
      <protection hidden="1"/>
    </xf>
    <xf numFmtId="0" fontId="3" fillId="12" borderId="161" xfId="0" applyFont="1" applyFill="1" applyBorder="1" applyAlignment="1" applyProtection="1">
      <alignment horizontal="center" vertical="center" wrapText="1"/>
      <protection hidden="1"/>
    </xf>
    <xf numFmtId="0" fontId="3" fillId="12" borderId="27" xfId="0" applyFont="1" applyFill="1" applyBorder="1" applyAlignment="1" applyProtection="1">
      <alignment horizontal="center" vertical="center" wrapText="1"/>
      <protection hidden="1"/>
    </xf>
    <xf numFmtId="0" fontId="4" fillId="4" borderId="131" xfId="0" applyFont="1" applyFill="1" applyBorder="1" applyAlignment="1" applyProtection="1">
      <alignment horizontal="center" vertical="center" wrapText="1"/>
      <protection hidden="1"/>
    </xf>
    <xf numFmtId="0" fontId="4" fillId="4" borderId="20" xfId="0" applyFont="1" applyFill="1" applyBorder="1" applyAlignment="1" applyProtection="1">
      <alignment horizontal="center" vertical="center" wrapText="1"/>
      <protection hidden="1"/>
    </xf>
    <xf numFmtId="0" fontId="4" fillId="4" borderId="170" xfId="0" applyFont="1" applyFill="1" applyBorder="1" applyAlignment="1" applyProtection="1">
      <alignment horizontal="center" vertical="center" wrapText="1"/>
      <protection hidden="1"/>
    </xf>
    <xf numFmtId="176" fontId="3" fillId="12" borderId="149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16" xfId="0" applyNumberFormat="1" applyFont="1" applyFill="1" applyBorder="1" applyAlignment="1" applyProtection="1">
      <alignment horizontal="center" vertical="center" wrapText="1"/>
      <protection hidden="1"/>
    </xf>
    <xf numFmtId="176" fontId="3" fillId="12" borderId="172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109" xfId="0" applyFont="1" applyFill="1" applyBorder="1" applyAlignment="1" applyProtection="1">
      <alignment horizontal="center" vertical="center" wrapText="1"/>
      <protection hidden="1"/>
    </xf>
    <xf numFmtId="0" fontId="4" fillId="3" borderId="18" xfId="0" applyFont="1" applyFill="1" applyBorder="1" applyAlignment="1" applyProtection="1">
      <alignment horizontal="center" vertical="center" wrapText="1"/>
      <protection hidden="1"/>
    </xf>
    <xf numFmtId="0" fontId="4" fillId="4" borderId="133" xfId="0" applyFont="1" applyFill="1" applyBorder="1" applyAlignment="1" applyProtection="1">
      <alignment horizontal="center" vertical="center" wrapText="1"/>
      <protection hidden="1"/>
    </xf>
    <xf numFmtId="0" fontId="4" fillId="4" borderId="23" xfId="0" applyFont="1" applyFill="1" applyBorder="1" applyAlignment="1" applyProtection="1">
      <alignment horizontal="center" vertical="center" wrapText="1"/>
      <protection hidden="1"/>
    </xf>
    <xf numFmtId="0" fontId="4" fillId="4" borderId="165" xfId="0" applyFont="1" applyFill="1" applyBorder="1" applyAlignment="1" applyProtection="1">
      <alignment horizontal="center" vertical="center" wrapText="1"/>
      <protection hidden="1"/>
    </xf>
    <xf numFmtId="0" fontId="4" fillId="4" borderId="123" xfId="0" applyFont="1" applyFill="1" applyBorder="1" applyAlignment="1" applyProtection="1">
      <alignment horizontal="center" vertical="center" wrapText="1"/>
      <protection hidden="1"/>
    </xf>
    <xf numFmtId="0" fontId="4" fillId="4" borderId="16" xfId="0" applyFont="1" applyFill="1" applyBorder="1" applyAlignment="1" applyProtection="1">
      <alignment horizontal="center" vertical="center" wrapText="1"/>
      <protection hidden="1"/>
    </xf>
    <xf numFmtId="0" fontId="4" fillId="4" borderId="172" xfId="0" applyFont="1" applyFill="1" applyBorder="1" applyAlignment="1" applyProtection="1">
      <alignment horizontal="center" vertical="center" wrapText="1"/>
      <protection hidden="1"/>
    </xf>
    <xf numFmtId="0" fontId="4" fillId="4" borderId="200" xfId="0" applyFont="1" applyFill="1" applyBorder="1" applyAlignment="1" applyProtection="1">
      <alignment horizontal="center" vertical="center" wrapText="1"/>
      <protection hidden="1"/>
    </xf>
    <xf numFmtId="0" fontId="4" fillId="4" borderId="201" xfId="0" applyFont="1" applyFill="1" applyBorder="1" applyAlignment="1" applyProtection="1">
      <alignment horizontal="center" vertical="center" wrapText="1"/>
      <protection hidden="1"/>
    </xf>
    <xf numFmtId="0" fontId="4" fillId="4" borderId="202" xfId="0" applyFont="1" applyFill="1" applyBorder="1" applyAlignment="1" applyProtection="1">
      <alignment horizontal="center" vertical="center" wrapText="1"/>
      <protection hidden="1"/>
    </xf>
    <xf numFmtId="0" fontId="3" fillId="4" borderId="130" xfId="0" applyFont="1" applyFill="1" applyBorder="1" applyAlignment="1" applyProtection="1">
      <alignment horizontal="center" vertical="center" wrapText="1"/>
      <protection hidden="1"/>
    </xf>
    <xf numFmtId="0" fontId="3" fillId="4" borderId="134" xfId="0" applyFont="1" applyFill="1" applyBorder="1" applyAlignment="1" applyProtection="1">
      <alignment horizontal="center" vertical="center" wrapText="1"/>
      <protection hidden="1"/>
    </xf>
    <xf numFmtId="0" fontId="3" fillId="4" borderId="203" xfId="0" applyFont="1" applyFill="1" applyBorder="1" applyAlignment="1" applyProtection="1">
      <alignment horizontal="center" vertical="center" wrapText="1"/>
      <protection hidden="1"/>
    </xf>
    <xf numFmtId="0" fontId="3" fillId="4" borderId="204" xfId="0" applyFont="1" applyFill="1" applyBorder="1" applyAlignment="1" applyProtection="1">
      <alignment horizontal="center" vertical="center" wrapText="1"/>
      <protection hidden="1"/>
    </xf>
    <xf numFmtId="0" fontId="4" fillId="3" borderId="118" xfId="0" applyFont="1" applyFill="1" applyBorder="1" applyAlignment="1" applyProtection="1">
      <alignment horizontal="center" vertical="center" wrapText="1"/>
      <protection hidden="1"/>
    </xf>
    <xf numFmtId="0" fontId="4" fillId="3" borderId="119" xfId="0" applyFont="1" applyFill="1" applyBorder="1" applyAlignment="1" applyProtection="1">
      <alignment horizontal="center" vertical="center" wrapText="1"/>
      <protection hidden="1"/>
    </xf>
    <xf numFmtId="0" fontId="4" fillId="3" borderId="120" xfId="0" applyFont="1" applyFill="1" applyBorder="1" applyAlignment="1" applyProtection="1">
      <alignment horizontal="center" vertical="center" wrapText="1"/>
      <protection hidden="1"/>
    </xf>
    <xf numFmtId="0" fontId="4" fillId="3" borderId="121" xfId="0" applyFont="1" applyFill="1" applyBorder="1" applyAlignment="1" applyProtection="1">
      <alignment horizontal="center" vertical="center" wrapText="1"/>
      <protection hidden="1"/>
    </xf>
    <xf numFmtId="0" fontId="4" fillId="3" borderId="122" xfId="0" applyFont="1" applyFill="1" applyBorder="1" applyAlignment="1" applyProtection="1">
      <alignment horizontal="center" vertical="center" wrapText="1"/>
      <protection hidden="1"/>
    </xf>
    <xf numFmtId="0" fontId="4" fillId="3" borderId="95" xfId="0" applyFont="1" applyFill="1" applyBorder="1" applyAlignment="1" applyProtection="1">
      <alignment horizontal="center" vertical="center" wrapText="1"/>
      <protection hidden="1"/>
    </xf>
    <xf numFmtId="176" fontId="4" fillId="3" borderId="123" xfId="0" applyNumberFormat="1" applyFont="1" applyFill="1" applyBorder="1" applyAlignment="1" applyProtection="1">
      <alignment horizontal="center" vertical="center" wrapText="1"/>
      <protection hidden="1"/>
    </xf>
    <xf numFmtId="176" fontId="4" fillId="3" borderId="96" xfId="0" applyNumberFormat="1" applyFont="1" applyFill="1" applyBorder="1" applyAlignment="1" applyProtection="1">
      <alignment horizontal="center" vertical="center" wrapText="1"/>
      <protection hidden="1"/>
    </xf>
    <xf numFmtId="0" fontId="4" fillId="4" borderId="117" xfId="0" applyFont="1" applyFill="1" applyBorder="1" applyAlignment="1" applyProtection="1">
      <alignment horizontal="center" vertical="center" wrapText="1"/>
      <protection hidden="1"/>
    </xf>
    <xf numFmtId="0" fontId="4" fillId="4" borderId="43" xfId="0" applyFont="1" applyFill="1" applyBorder="1" applyAlignment="1" applyProtection="1">
      <alignment horizontal="center" vertical="center" wrapText="1"/>
      <protection hidden="1"/>
    </xf>
    <xf numFmtId="0" fontId="4" fillId="19" borderId="218" xfId="0" applyFont="1" applyFill="1" applyBorder="1" applyAlignment="1" applyProtection="1">
      <alignment horizontal="center" vertical="center"/>
      <protection hidden="1"/>
    </xf>
    <xf numFmtId="0" fontId="4" fillId="19" borderId="214" xfId="0" applyFont="1" applyFill="1" applyBorder="1" applyAlignment="1" applyProtection="1">
      <alignment horizontal="center" vertical="center"/>
      <protection hidden="1"/>
    </xf>
    <xf numFmtId="0" fontId="4" fillId="19" borderId="320" xfId="0" applyFont="1" applyFill="1" applyBorder="1" applyAlignment="1" applyProtection="1">
      <alignment horizontal="center" vertical="center"/>
      <protection hidden="1"/>
    </xf>
    <xf numFmtId="176" fontId="4" fillId="3" borderId="118" xfId="0" applyNumberFormat="1" applyFont="1" applyFill="1" applyBorder="1" applyAlignment="1" applyProtection="1">
      <alignment horizontal="center" vertical="center" wrapText="1"/>
      <protection hidden="1"/>
    </xf>
    <xf numFmtId="176" fontId="4" fillId="3" borderId="119" xfId="0" applyNumberFormat="1" applyFont="1" applyFill="1" applyBorder="1" applyAlignment="1" applyProtection="1">
      <alignment horizontal="center" vertical="center" wrapText="1"/>
      <protection hidden="1"/>
    </xf>
    <xf numFmtId="176" fontId="4" fillId="3" borderId="121" xfId="0" applyNumberFormat="1" applyFont="1" applyFill="1" applyBorder="1" applyAlignment="1" applyProtection="1">
      <alignment horizontal="center" vertical="center" wrapText="1"/>
      <protection hidden="1"/>
    </xf>
    <xf numFmtId="176" fontId="4" fillId="3" borderId="122" xfId="0" applyNumberFormat="1" applyFont="1" applyFill="1" applyBorder="1" applyAlignment="1" applyProtection="1">
      <alignment horizontal="center" vertical="center" wrapText="1"/>
      <protection hidden="1"/>
    </xf>
    <xf numFmtId="177" fontId="0" fillId="3" borderId="74" xfId="0" applyNumberFormat="1" applyFill="1" applyBorder="1" applyAlignment="1" applyProtection="1">
      <alignment horizontal="center" vertical="center"/>
      <protection hidden="1"/>
    </xf>
    <xf numFmtId="177" fontId="0" fillId="3" borderId="206" xfId="0" applyNumberFormat="1" applyFill="1" applyBorder="1" applyAlignment="1" applyProtection="1">
      <alignment horizontal="center" vertical="center"/>
      <protection hidden="1"/>
    </xf>
    <xf numFmtId="0" fontId="4" fillId="3" borderId="128" xfId="0" applyFont="1" applyFill="1" applyBorder="1" applyAlignment="1" applyProtection="1">
      <alignment horizontal="center" vertical="center" wrapText="1"/>
      <protection hidden="1"/>
    </xf>
    <xf numFmtId="0" fontId="4" fillId="3" borderId="129" xfId="0" applyFont="1" applyFill="1" applyBorder="1" applyAlignment="1" applyProtection="1">
      <alignment horizontal="center" vertical="center" wrapText="1"/>
      <protection hidden="1"/>
    </xf>
    <xf numFmtId="176" fontId="3" fillId="6" borderId="77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5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304" xfId="0" applyFont="1" applyFill="1" applyBorder="1" applyAlignment="1" applyProtection="1">
      <alignment horizontal="center" vertical="center" wrapText="1"/>
      <protection hidden="1"/>
    </xf>
    <xf numFmtId="0" fontId="4" fillId="3" borderId="305" xfId="0" applyFont="1" applyFill="1" applyBorder="1" applyAlignment="1" applyProtection="1">
      <alignment horizontal="center" vertical="center" wrapText="1"/>
      <protection hidden="1"/>
    </xf>
    <xf numFmtId="0" fontId="4" fillId="3" borderId="306" xfId="0" applyFont="1" applyFill="1" applyBorder="1" applyAlignment="1" applyProtection="1">
      <alignment horizontal="center" vertical="center" wrapText="1"/>
      <protection hidden="1"/>
    </xf>
    <xf numFmtId="0" fontId="0" fillId="15" borderId="84" xfId="0" applyFill="1" applyBorder="1" applyAlignment="1" applyProtection="1">
      <alignment horizontal="center" vertical="center"/>
      <protection hidden="1"/>
    </xf>
    <xf numFmtId="180" fontId="4" fillId="3" borderId="151" xfId="0" applyNumberFormat="1" applyFont="1" applyFill="1" applyBorder="1" applyAlignment="1" applyProtection="1">
      <alignment horizontal="center" vertical="center" wrapText="1"/>
      <protection hidden="1"/>
    </xf>
    <xf numFmtId="180" fontId="4" fillId="3" borderId="238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6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87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54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6" xfId="0" applyNumberFormat="1" applyFont="1" applyFill="1" applyBorder="1" applyAlignment="1" applyProtection="1">
      <alignment horizontal="center" vertical="center" wrapText="1"/>
      <protection hidden="1"/>
    </xf>
    <xf numFmtId="176" fontId="3" fillId="6" borderId="150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91" xfId="0" applyNumberFormat="1" applyFont="1" applyFill="1" applyBorder="1" applyAlignment="1" applyProtection="1">
      <alignment horizontal="center" vertical="center"/>
      <protection hidden="1"/>
    </xf>
    <xf numFmtId="0" fontId="3" fillId="13" borderId="56" xfId="0" applyFont="1" applyFill="1" applyBorder="1" applyAlignment="1" applyProtection="1">
      <alignment horizontal="center" vertical="center"/>
      <protection hidden="1"/>
    </xf>
    <xf numFmtId="0" fontId="3" fillId="13" borderId="57" xfId="0" applyFont="1" applyFill="1" applyBorder="1" applyAlignment="1" applyProtection="1">
      <alignment horizontal="center" vertical="center"/>
      <protection hidden="1"/>
    </xf>
    <xf numFmtId="176" fontId="4" fillId="10" borderId="92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3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4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2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0" xfId="0" applyNumberFormat="1" applyFont="1" applyFill="1" applyBorder="1" applyAlignment="1" applyProtection="1">
      <alignment horizontal="center" vertical="center" wrapText="1"/>
      <protection hidden="1"/>
    </xf>
    <xf numFmtId="176" fontId="4" fillId="10" borderId="51" xfId="0" applyNumberFormat="1" applyFont="1" applyFill="1" applyBorder="1" applyAlignment="1" applyProtection="1">
      <alignment horizontal="center" vertical="center" wrapText="1"/>
      <protection hidden="1"/>
    </xf>
    <xf numFmtId="0" fontId="4" fillId="3" borderId="162" xfId="0" applyFont="1" applyFill="1" applyBorder="1" applyAlignment="1" applyProtection="1">
      <alignment horizontal="center" vertical="center" wrapText="1"/>
      <protection hidden="1"/>
    </xf>
    <xf numFmtId="0" fontId="4" fillId="3" borderId="163" xfId="0" applyFont="1" applyFill="1" applyBorder="1" applyAlignment="1" applyProtection="1">
      <alignment horizontal="center" vertical="center" wrapText="1"/>
      <protection hidden="1"/>
    </xf>
    <xf numFmtId="176" fontId="3" fillId="6" borderId="88" xfId="0" applyNumberFormat="1" applyFont="1" applyFill="1" applyBorder="1" applyAlignment="1" applyProtection="1">
      <alignment horizontal="center" vertical="center" wrapText="1"/>
      <protection hidden="1"/>
    </xf>
    <xf numFmtId="0" fontId="11" fillId="17" borderId="111" xfId="0" applyFont="1" applyFill="1" applyBorder="1" applyAlignment="1">
      <alignment horizontal="center" vertical="center"/>
    </xf>
    <xf numFmtId="0" fontId="11" fillId="17" borderId="186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187" xfId="0" applyFont="1" applyFill="1" applyBorder="1" applyAlignment="1">
      <alignment horizontal="center" vertical="center"/>
    </xf>
    <xf numFmtId="0" fontId="0" fillId="0" borderId="29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79" xfId="0" applyBorder="1" applyAlignment="1" applyProtection="1">
      <alignment horizontal="left" vertical="center"/>
      <protection locked="0"/>
    </xf>
    <xf numFmtId="0" fontId="0" fillId="0" borderId="188" xfId="0" applyBorder="1" applyAlignment="1" applyProtection="1">
      <alignment horizontal="left" vertical="center"/>
      <protection locked="0"/>
    </xf>
    <xf numFmtId="0" fontId="0" fillId="0" borderId="168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 shrinkToFit="1"/>
      <protection locked="0"/>
    </xf>
    <xf numFmtId="0" fontId="0" fillId="0" borderId="0" xfId="0" applyAlignment="1" applyProtection="1">
      <alignment horizontal="left" vertical="center" shrinkToFit="1"/>
      <protection locked="0"/>
    </xf>
    <xf numFmtId="0" fontId="0" fillId="0" borderId="168" xfId="0" applyBorder="1" applyAlignment="1" applyProtection="1">
      <alignment horizontal="left" vertical="center" shrinkToFit="1"/>
      <protection locked="0"/>
    </xf>
    <xf numFmtId="0" fontId="12" fillId="0" borderId="29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168" xfId="0" applyFont="1" applyBorder="1" applyAlignment="1" applyProtection="1">
      <alignment horizontal="left" vertical="center"/>
      <protection locked="0"/>
    </xf>
    <xf numFmtId="0" fontId="0" fillId="0" borderId="189" xfId="0" applyBorder="1" applyAlignment="1" applyProtection="1">
      <alignment horizontal="left" vertical="center"/>
      <protection locked="0"/>
    </xf>
    <xf numFmtId="0" fontId="0" fillId="0" borderId="187" xfId="0" applyBorder="1" applyAlignment="1" applyProtection="1">
      <alignment horizontal="left" vertical="center"/>
      <protection locked="0"/>
    </xf>
    <xf numFmtId="0" fontId="0" fillId="0" borderId="190" xfId="0" applyBorder="1" applyAlignment="1" applyProtection="1">
      <alignment horizontal="left" vertical="center"/>
      <protection locked="0"/>
    </xf>
    <xf numFmtId="0" fontId="4" fillId="7" borderId="199" xfId="0" applyFont="1" applyFill="1" applyBorder="1" applyAlignment="1" applyProtection="1">
      <alignment horizontal="center" vertical="center" wrapText="1"/>
      <protection hidden="1"/>
    </xf>
    <xf numFmtId="0" fontId="4" fillId="7" borderId="20" xfId="0" applyFont="1" applyFill="1" applyBorder="1" applyAlignment="1" applyProtection="1">
      <alignment horizontal="center" vertical="center" wrapText="1"/>
      <protection hidden="1"/>
    </xf>
    <xf numFmtId="0" fontId="4" fillId="7" borderId="170" xfId="0" applyFont="1" applyFill="1" applyBorder="1" applyAlignment="1" applyProtection="1">
      <alignment horizontal="center" vertical="center" wrapText="1"/>
      <protection hidden="1"/>
    </xf>
    <xf numFmtId="0" fontId="4" fillId="3" borderId="110" xfId="0" applyFont="1" applyFill="1" applyBorder="1" applyAlignment="1" applyProtection="1">
      <alignment horizontal="center" vertical="center" wrapText="1"/>
      <protection hidden="1"/>
    </xf>
    <xf numFmtId="0" fontId="0" fillId="15" borderId="73" xfId="0" applyFill="1" applyBorder="1" applyAlignment="1" applyProtection="1">
      <alignment horizontal="center" vertical="center"/>
      <protection hidden="1"/>
    </xf>
    <xf numFmtId="0" fontId="0" fillId="15" borderId="205" xfId="0" applyFill="1" applyBorder="1" applyAlignment="1" applyProtection="1">
      <alignment horizontal="center" vertical="center"/>
      <protection hidden="1"/>
    </xf>
    <xf numFmtId="176" fontId="3" fillId="13" borderId="78" xfId="0" applyNumberFormat="1" applyFont="1" applyFill="1" applyBorder="1" applyAlignment="1" applyProtection="1">
      <alignment horizontal="center" vertical="center" wrapText="1"/>
      <protection hidden="1"/>
    </xf>
    <xf numFmtId="176" fontId="3" fillId="13" borderId="9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left" vertical="center"/>
      <protection locked="0"/>
    </xf>
    <xf numFmtId="0" fontId="2" fillId="19" borderId="213" xfId="0" applyFont="1" applyFill="1" applyBorder="1" applyAlignment="1" applyProtection="1">
      <alignment horizontal="center" vertical="center" wrapText="1"/>
      <protection hidden="1"/>
    </xf>
    <xf numFmtId="0" fontId="2" fillId="19" borderId="214" xfId="0" applyFont="1" applyFill="1" applyBorder="1" applyAlignment="1" applyProtection="1">
      <alignment horizontal="center" vertical="center" wrapText="1"/>
      <protection hidden="1"/>
    </xf>
    <xf numFmtId="0" fontId="2" fillId="19" borderId="215" xfId="0" applyFont="1" applyFill="1" applyBorder="1" applyAlignment="1" applyProtection="1">
      <alignment horizontal="center" vertical="center" wrapText="1"/>
      <protection hidden="1"/>
    </xf>
    <xf numFmtId="0" fontId="15" fillId="19" borderId="207" xfId="0" applyFont="1" applyFill="1" applyBorder="1" applyAlignment="1" applyProtection="1">
      <alignment horizontal="center" vertical="center" wrapText="1" shrinkToFit="1"/>
      <protection hidden="1"/>
    </xf>
    <xf numFmtId="0" fontId="15" fillId="19" borderId="208" xfId="0" applyFont="1" applyFill="1" applyBorder="1" applyAlignment="1" applyProtection="1">
      <alignment horizontal="center" vertical="center" wrapText="1" shrinkToFit="1"/>
      <protection hidden="1"/>
    </xf>
    <xf numFmtId="0" fontId="15" fillId="19" borderId="313" xfId="0" applyFont="1" applyFill="1" applyBorder="1" applyAlignment="1" applyProtection="1">
      <alignment horizontal="center" vertical="center" wrapText="1" shrinkToFit="1"/>
      <protection hidden="1"/>
    </xf>
    <xf numFmtId="0" fontId="15" fillId="19" borderId="209" xfId="0" applyFont="1" applyFill="1" applyBorder="1" applyAlignment="1" applyProtection="1">
      <alignment horizontal="center" vertical="center" wrapText="1" shrinkToFit="1"/>
      <protection hidden="1"/>
    </xf>
    <xf numFmtId="0" fontId="15" fillId="19" borderId="0" xfId="0" applyFont="1" applyFill="1" applyAlignment="1" applyProtection="1">
      <alignment horizontal="center" vertical="center" wrapText="1" shrinkToFit="1"/>
      <protection hidden="1"/>
    </xf>
    <xf numFmtId="0" fontId="15" fillId="19" borderId="168" xfId="0" applyFont="1" applyFill="1" applyBorder="1" applyAlignment="1" applyProtection="1">
      <alignment horizontal="center" vertical="center" wrapText="1" shrinkToFit="1"/>
      <protection hidden="1"/>
    </xf>
    <xf numFmtId="0" fontId="15" fillId="19" borderId="210" xfId="0" applyFont="1" applyFill="1" applyBorder="1" applyAlignment="1" applyProtection="1">
      <alignment horizontal="center" vertical="center" wrapText="1" shrinkToFit="1"/>
      <protection hidden="1"/>
    </xf>
    <xf numFmtId="0" fontId="15" fillId="19" borderId="169" xfId="0" applyFont="1" applyFill="1" applyBorder="1" applyAlignment="1" applyProtection="1">
      <alignment horizontal="center" vertical="center" wrapText="1" shrinkToFit="1"/>
      <protection hidden="1"/>
    </xf>
    <xf numFmtId="0" fontId="15" fillId="19" borderId="314" xfId="0" applyFont="1" applyFill="1" applyBorder="1" applyAlignment="1" applyProtection="1">
      <alignment horizontal="center" vertical="center" wrapText="1" shrinkToFit="1"/>
      <protection hidden="1"/>
    </xf>
    <xf numFmtId="0" fontId="10" fillId="19" borderId="221" xfId="0" applyFont="1" applyFill="1" applyBorder="1" applyAlignment="1" applyProtection="1">
      <alignment horizontal="center" vertical="center" wrapText="1"/>
      <protection hidden="1"/>
    </xf>
    <xf numFmtId="0" fontId="10" fillId="19" borderId="174" xfId="0" applyFont="1" applyFill="1" applyBorder="1" applyAlignment="1" applyProtection="1">
      <alignment horizontal="center" vertical="center" wrapText="1"/>
      <protection hidden="1"/>
    </xf>
    <xf numFmtId="0" fontId="10" fillId="19" borderId="222" xfId="0" applyFont="1" applyFill="1" applyBorder="1" applyAlignment="1" applyProtection="1">
      <alignment horizontal="center" vertical="center" wrapText="1"/>
      <protection hidden="1"/>
    </xf>
    <xf numFmtId="0" fontId="10" fillId="19" borderId="223" xfId="0" applyFont="1" applyFill="1" applyBorder="1" applyAlignment="1" applyProtection="1">
      <alignment horizontal="center" vertical="center" wrapText="1"/>
      <protection hidden="1"/>
    </xf>
    <xf numFmtId="0" fontId="2" fillId="12" borderId="317" xfId="0" applyFont="1" applyFill="1" applyBorder="1" applyAlignment="1" applyProtection="1">
      <alignment horizontal="center" vertical="center"/>
      <protection hidden="1"/>
    </xf>
    <xf numFmtId="0" fontId="2" fillId="12" borderId="318" xfId="0" applyFont="1" applyFill="1" applyBorder="1" applyAlignment="1" applyProtection="1">
      <alignment horizontal="center" vertical="center"/>
      <protection hidden="1"/>
    </xf>
    <xf numFmtId="0" fontId="4" fillId="3" borderId="235" xfId="0" applyFont="1" applyFill="1" applyBorder="1" applyAlignment="1" applyProtection="1">
      <alignment horizontal="center" vertical="center" wrapText="1"/>
      <protection hidden="1"/>
    </xf>
    <xf numFmtId="0" fontId="4" fillId="3" borderId="116" xfId="0" applyFont="1" applyFill="1" applyBorder="1" applyAlignment="1" applyProtection="1">
      <alignment horizontal="center" vertical="center" wrapText="1"/>
      <protection hidden="1"/>
    </xf>
    <xf numFmtId="0" fontId="3" fillId="12" borderId="172" xfId="0" applyFont="1" applyFill="1" applyBorder="1" applyAlignment="1" applyProtection="1">
      <alignment horizontal="center" vertical="center" wrapText="1"/>
      <protection hidden="1"/>
    </xf>
    <xf numFmtId="0" fontId="3" fillId="12" borderId="166" xfId="0" applyFont="1" applyFill="1" applyBorder="1" applyAlignment="1" applyProtection="1">
      <alignment horizontal="center" vertical="center" wrapText="1"/>
      <protection hidden="1"/>
    </xf>
    <xf numFmtId="0" fontId="3" fillId="12" borderId="26" xfId="0" applyFont="1" applyFill="1" applyBorder="1" applyAlignment="1" applyProtection="1">
      <alignment horizontal="center" vertical="center" wrapText="1"/>
      <protection hidden="1"/>
    </xf>
    <xf numFmtId="0" fontId="6" fillId="0" borderId="0" xfId="3" applyFont="1" applyAlignment="1" applyProtection="1">
      <alignment horizontal="center" vertical="center" shrinkToFit="1"/>
      <protection locked="0"/>
    </xf>
    <xf numFmtId="0" fontId="6" fillId="0" borderId="0" xfId="3" applyFont="1" applyAlignment="1" applyProtection="1">
      <alignment horizontal="center" vertical="center"/>
      <protection hidden="1"/>
    </xf>
    <xf numFmtId="0" fontId="8" fillId="0" borderId="0" xfId="3" applyFont="1" applyAlignment="1">
      <alignment horizontal="left" vertical="center"/>
    </xf>
    <xf numFmtId="0" fontId="4" fillId="9" borderId="143" xfId="3" applyFont="1" applyFill="1" applyBorder="1" applyAlignment="1" applyProtection="1">
      <alignment horizontal="center" vertical="center" wrapText="1"/>
      <protection hidden="1"/>
    </xf>
    <xf numFmtId="0" fontId="4" fillId="9" borderId="144" xfId="3" applyFont="1" applyFill="1" applyBorder="1" applyAlignment="1" applyProtection="1">
      <alignment horizontal="center" vertical="center" wrapText="1"/>
      <protection hidden="1"/>
    </xf>
    <xf numFmtId="0" fontId="4" fillId="9" borderId="145" xfId="3" applyFont="1" applyFill="1" applyBorder="1" applyAlignment="1" applyProtection="1">
      <alignment horizontal="center" vertical="center" wrapText="1"/>
      <protection hidden="1"/>
    </xf>
    <xf numFmtId="0" fontId="4" fillId="9" borderId="146" xfId="3" applyFont="1" applyFill="1" applyBorder="1" applyAlignment="1" applyProtection="1">
      <alignment horizontal="center" vertical="center" wrapText="1"/>
      <protection hidden="1"/>
    </xf>
    <xf numFmtId="0" fontId="4" fillId="9" borderId="80" xfId="3" applyFont="1" applyFill="1" applyBorder="1" applyAlignment="1" applyProtection="1">
      <alignment horizontal="center" vertical="center" wrapText="1"/>
      <protection hidden="1"/>
    </xf>
    <xf numFmtId="0" fontId="4" fillId="9" borderId="141" xfId="3" applyFont="1" applyFill="1" applyBorder="1" applyAlignment="1" applyProtection="1">
      <alignment horizontal="center" vertical="center" wrapText="1"/>
      <protection hidden="1"/>
    </xf>
    <xf numFmtId="0" fontId="4" fillId="9" borderId="183" xfId="3" applyFont="1" applyFill="1" applyBorder="1" applyAlignment="1" applyProtection="1">
      <alignment horizontal="center" vertical="center" wrapText="1"/>
      <protection hidden="1"/>
    </xf>
    <xf numFmtId="0" fontId="4" fillId="9" borderId="150" xfId="3" applyFont="1" applyFill="1" applyBorder="1" applyAlignment="1" applyProtection="1">
      <alignment horizontal="center" vertical="center" wrapText="1"/>
      <protection hidden="1"/>
    </xf>
    <xf numFmtId="0" fontId="4" fillId="9" borderId="184" xfId="3" applyFont="1" applyFill="1" applyBorder="1" applyAlignment="1" applyProtection="1">
      <alignment horizontal="center" vertical="center" wrapText="1"/>
      <protection hidden="1"/>
    </xf>
    <xf numFmtId="0" fontId="4" fillId="9" borderId="140" xfId="3" applyFont="1" applyFill="1" applyBorder="1" applyAlignment="1" applyProtection="1">
      <alignment horizontal="center" vertical="center" wrapText="1"/>
      <protection hidden="1"/>
    </xf>
    <xf numFmtId="0" fontId="4" fillId="9" borderId="260" xfId="3" applyFont="1" applyFill="1" applyBorder="1" applyAlignment="1" applyProtection="1">
      <alignment horizontal="center" vertical="center" wrapText="1"/>
      <protection hidden="1"/>
    </xf>
    <xf numFmtId="0" fontId="4" fillId="9" borderId="147" xfId="3" applyFont="1" applyFill="1" applyBorder="1" applyAlignment="1" applyProtection="1">
      <alignment horizontal="center" vertical="center" wrapText="1"/>
      <protection hidden="1"/>
    </xf>
    <xf numFmtId="0" fontId="4" fillId="9" borderId="261" xfId="3" applyFont="1" applyFill="1" applyBorder="1" applyAlignment="1" applyProtection="1">
      <alignment horizontal="center" vertical="center" wrapText="1"/>
      <protection hidden="1"/>
    </xf>
    <xf numFmtId="0" fontId="4" fillId="9" borderId="148" xfId="3" applyFont="1" applyFill="1" applyBorder="1" applyAlignment="1" applyProtection="1">
      <alignment horizontal="center" vertical="center" wrapText="1"/>
      <protection hidden="1"/>
    </xf>
    <xf numFmtId="0" fontId="4" fillId="9" borderId="275" xfId="3" applyFont="1" applyFill="1" applyBorder="1" applyAlignment="1" applyProtection="1">
      <alignment horizontal="center" vertical="center" wrapText="1"/>
      <protection hidden="1"/>
    </xf>
    <xf numFmtId="0" fontId="4" fillId="9" borderId="276" xfId="3" applyFont="1" applyFill="1" applyBorder="1" applyAlignment="1" applyProtection="1">
      <alignment horizontal="center" vertical="center" wrapText="1"/>
      <protection hidden="1"/>
    </xf>
    <xf numFmtId="0" fontId="4" fillId="18" borderId="252" xfId="3" applyFont="1" applyFill="1" applyBorder="1" applyAlignment="1" applyProtection="1">
      <alignment horizontal="center" vertical="center" wrapText="1"/>
      <protection hidden="1"/>
    </xf>
    <xf numFmtId="0" fontId="4" fillId="18" borderId="253" xfId="3" applyFont="1" applyFill="1" applyBorder="1" applyAlignment="1" applyProtection="1">
      <alignment horizontal="center" vertical="center" wrapText="1"/>
      <protection hidden="1"/>
    </xf>
    <xf numFmtId="0" fontId="4" fillId="2" borderId="419" xfId="3" applyFont="1" applyFill="1" applyBorder="1" applyAlignment="1" applyProtection="1">
      <alignment horizontal="center" vertical="center" wrapText="1"/>
      <protection hidden="1"/>
    </xf>
    <xf numFmtId="0" fontId="4" fillId="2" borderId="420" xfId="3" applyFont="1" applyFill="1" applyBorder="1" applyAlignment="1" applyProtection="1">
      <alignment horizontal="center" vertical="center" wrapText="1"/>
      <protection hidden="1"/>
    </xf>
    <xf numFmtId="0" fontId="4" fillId="2" borderId="182" xfId="3" applyFont="1" applyFill="1" applyBorder="1" applyAlignment="1" applyProtection="1">
      <alignment horizontal="center" vertical="center" wrapText="1"/>
      <protection hidden="1"/>
    </xf>
    <xf numFmtId="0" fontId="4" fillId="2" borderId="66" xfId="3" applyFont="1" applyFill="1" applyBorder="1" applyAlignment="1" applyProtection="1">
      <alignment horizontal="center" vertical="center"/>
      <protection hidden="1"/>
    </xf>
    <xf numFmtId="0" fontId="4" fillId="2" borderId="178" xfId="3" applyFont="1" applyFill="1" applyBorder="1" applyAlignment="1" applyProtection="1">
      <alignment horizontal="center" vertical="center" wrapText="1"/>
      <protection hidden="1"/>
    </xf>
    <xf numFmtId="0" fontId="4" fillId="2" borderId="103" xfId="3" applyFont="1" applyFill="1" applyBorder="1" applyAlignment="1" applyProtection="1">
      <alignment horizontal="center" vertical="center"/>
      <protection hidden="1"/>
    </xf>
    <xf numFmtId="0" fontId="4" fillId="15" borderId="321" xfId="3" applyFont="1" applyFill="1" applyBorder="1" applyAlignment="1" applyProtection="1">
      <alignment horizontal="center" vertical="center" wrapText="1"/>
      <protection hidden="1"/>
    </xf>
    <xf numFmtId="0" fontId="4" fillId="15" borderId="195" xfId="3" applyFont="1" applyFill="1" applyBorder="1" applyAlignment="1" applyProtection="1">
      <alignment horizontal="center" vertical="center"/>
      <protection hidden="1"/>
    </xf>
    <xf numFmtId="0" fontId="4" fillId="4" borderId="132" xfId="3" applyFont="1" applyFill="1" applyBorder="1" applyAlignment="1" applyProtection="1">
      <alignment horizontal="center" vertical="center" wrapText="1"/>
      <protection hidden="1"/>
    </xf>
    <xf numFmtId="0" fontId="4" fillId="4" borderId="14" xfId="3" applyFont="1" applyFill="1" applyBorder="1" applyAlignment="1" applyProtection="1">
      <alignment horizontal="center" vertical="center" wrapText="1"/>
      <protection hidden="1"/>
    </xf>
    <xf numFmtId="0" fontId="4" fillId="4" borderId="164" xfId="3" applyFont="1" applyFill="1" applyBorder="1" applyAlignment="1" applyProtection="1">
      <alignment horizontal="center" vertical="center" wrapText="1"/>
      <protection hidden="1"/>
    </xf>
    <xf numFmtId="176" fontId="3" fillId="12" borderId="132" xfId="3" applyNumberFormat="1" applyFont="1" applyFill="1" applyBorder="1" applyAlignment="1" applyProtection="1">
      <alignment horizontal="center" vertical="center" wrapText="1"/>
      <protection hidden="1"/>
    </xf>
    <xf numFmtId="176" fontId="3" fillId="12" borderId="242" xfId="3" applyNumberFormat="1" applyFont="1" applyFill="1" applyBorder="1" applyAlignment="1" applyProtection="1">
      <alignment horizontal="center" vertical="center" wrapText="1"/>
      <protection hidden="1"/>
    </xf>
    <xf numFmtId="0" fontId="3" fillId="4" borderId="138" xfId="3" applyFont="1" applyFill="1" applyBorder="1" applyAlignment="1" applyProtection="1">
      <alignment horizontal="center" vertical="center" wrapText="1"/>
      <protection hidden="1"/>
    </xf>
    <xf numFmtId="0" fontId="3" fillId="4" borderId="139" xfId="3" applyFont="1" applyFill="1" applyBorder="1" applyAlignment="1" applyProtection="1">
      <alignment horizontal="center" vertical="center" wrapText="1"/>
      <protection hidden="1"/>
    </xf>
    <xf numFmtId="0" fontId="3" fillId="4" borderId="135" xfId="3" applyFont="1" applyFill="1" applyBorder="1" applyAlignment="1" applyProtection="1">
      <alignment horizontal="center" vertical="center" wrapText="1"/>
      <protection hidden="1"/>
    </xf>
    <xf numFmtId="0" fontId="3" fillId="4" borderId="93" xfId="3" applyFont="1" applyFill="1" applyBorder="1" applyAlignment="1" applyProtection="1">
      <alignment horizontal="center" vertical="center" wrapText="1"/>
      <protection hidden="1"/>
    </xf>
    <xf numFmtId="0" fontId="3" fillId="4" borderId="140" xfId="3" applyFont="1" applyFill="1" applyBorder="1" applyAlignment="1" applyProtection="1">
      <alignment horizontal="center" vertical="center" wrapText="1"/>
      <protection hidden="1"/>
    </xf>
    <xf numFmtId="0" fontId="3" fillId="4" borderId="141" xfId="3" applyFont="1" applyFill="1" applyBorder="1" applyAlignment="1" applyProtection="1">
      <alignment horizontal="center" vertical="center" wrapText="1"/>
      <protection hidden="1"/>
    </xf>
    <xf numFmtId="0" fontId="4" fillId="4" borderId="142" xfId="3" applyFont="1" applyFill="1" applyBorder="1" applyAlignment="1" applyProtection="1">
      <alignment horizontal="center" vertical="center" wrapText="1"/>
      <protection hidden="1"/>
    </xf>
    <xf numFmtId="0" fontId="4" fillId="4" borderId="152" xfId="3" applyFont="1" applyFill="1" applyBorder="1" applyAlignment="1" applyProtection="1">
      <alignment horizontal="center" vertical="center" wrapText="1"/>
      <protection hidden="1"/>
    </xf>
    <xf numFmtId="0" fontId="4" fillId="6" borderId="185" xfId="3" applyFont="1" applyFill="1" applyBorder="1" applyAlignment="1" applyProtection="1">
      <alignment horizontal="center" vertical="center" wrapText="1"/>
      <protection hidden="1"/>
    </xf>
    <xf numFmtId="0" fontId="4" fillId="6" borderId="87" xfId="3" applyFont="1" applyFill="1" applyBorder="1" applyAlignment="1" applyProtection="1">
      <alignment horizontal="center" vertical="center"/>
      <protection hidden="1"/>
    </xf>
    <xf numFmtId="0" fontId="4" fillId="6" borderId="174" xfId="3" applyFont="1" applyFill="1" applyBorder="1" applyAlignment="1" applyProtection="1">
      <alignment horizontal="center" vertical="center" wrapText="1"/>
      <protection hidden="1"/>
    </xf>
    <xf numFmtId="0" fontId="4" fillId="6" borderId="90" xfId="3" applyFont="1" applyFill="1" applyBorder="1" applyAlignment="1" applyProtection="1">
      <alignment horizontal="center" vertical="center"/>
      <protection hidden="1"/>
    </xf>
    <xf numFmtId="0" fontId="4" fillId="21" borderId="183" xfId="3" applyFont="1" applyFill="1" applyBorder="1" applyAlignment="1" applyProtection="1">
      <alignment horizontal="center" vertical="center" wrapText="1"/>
      <protection hidden="1"/>
    </xf>
    <xf numFmtId="0" fontId="4" fillId="21" borderId="150" xfId="3" applyFont="1" applyFill="1" applyBorder="1" applyAlignment="1" applyProtection="1">
      <alignment horizontal="center" vertical="center" wrapText="1"/>
      <protection hidden="1"/>
    </xf>
    <xf numFmtId="0" fontId="4" fillId="13" borderId="179" xfId="3" applyFont="1" applyFill="1" applyBorder="1" applyAlignment="1" applyProtection="1">
      <alignment horizontal="center" vertical="center" wrapText="1"/>
      <protection hidden="1"/>
    </xf>
    <xf numFmtId="0" fontId="4" fillId="13" borderId="57" xfId="3" applyFont="1" applyFill="1" applyBorder="1" applyAlignment="1" applyProtection="1">
      <alignment horizontal="center" vertical="center" wrapText="1"/>
      <protection hidden="1"/>
    </xf>
    <xf numFmtId="0" fontId="3" fillId="22" borderId="54" xfId="3" applyFont="1" applyFill="1" applyBorder="1" applyAlignment="1" applyProtection="1">
      <alignment horizontal="center" vertical="center" wrapText="1"/>
      <protection hidden="1"/>
    </xf>
    <xf numFmtId="0" fontId="3" fillId="22" borderId="16" xfId="3" applyFont="1" applyFill="1" applyBorder="1" applyAlignment="1" applyProtection="1">
      <alignment horizontal="center" vertical="center" wrapText="1"/>
      <protection hidden="1"/>
    </xf>
    <xf numFmtId="0" fontId="3" fillId="22" borderId="150" xfId="3" applyFont="1" applyFill="1" applyBorder="1" applyAlignment="1" applyProtection="1">
      <alignment horizontal="center" vertical="center" wrapText="1"/>
      <protection hidden="1"/>
    </xf>
    <xf numFmtId="0" fontId="3" fillId="12" borderId="54" xfId="3" applyFont="1" applyFill="1" applyBorder="1" applyAlignment="1" applyProtection="1">
      <alignment horizontal="center" vertical="center" wrapText="1"/>
      <protection hidden="1"/>
    </xf>
    <xf numFmtId="0" fontId="3" fillId="12" borderId="16" xfId="3" applyFont="1" applyFill="1" applyBorder="1" applyAlignment="1" applyProtection="1">
      <alignment horizontal="center" vertical="center" wrapText="1"/>
      <protection hidden="1"/>
    </xf>
    <xf numFmtId="0" fontId="3" fillId="12" borderId="150" xfId="3" applyFont="1" applyFill="1" applyBorder="1" applyAlignment="1" applyProtection="1">
      <alignment horizontal="center" vertical="center" wrapText="1"/>
      <protection hidden="1"/>
    </xf>
    <xf numFmtId="0" fontId="1" fillId="2" borderId="323" xfId="3" applyFill="1" applyBorder="1" applyAlignment="1" applyProtection="1">
      <alignment horizontal="center" vertical="center"/>
      <protection hidden="1"/>
    </xf>
    <xf numFmtId="0" fontId="1" fillId="2" borderId="326" xfId="3" applyFill="1" applyBorder="1" applyAlignment="1" applyProtection="1">
      <alignment horizontal="center" vertical="center"/>
      <protection hidden="1"/>
    </xf>
    <xf numFmtId="0" fontId="1" fillId="2" borderId="329" xfId="3" applyFill="1" applyBorder="1" applyAlignment="1" applyProtection="1">
      <alignment horizontal="center" vertical="center"/>
      <protection hidden="1"/>
    </xf>
    <xf numFmtId="0" fontId="4" fillId="4" borderId="97" xfId="3" applyFont="1" applyFill="1" applyBorder="1" applyAlignment="1" applyProtection="1">
      <alignment horizontal="center" vertical="center" wrapText="1"/>
      <protection hidden="1"/>
    </xf>
    <xf numFmtId="0" fontId="4" fillId="4" borderId="155" xfId="3" applyFont="1" applyFill="1" applyBorder="1" applyAlignment="1" applyProtection="1">
      <alignment horizontal="center" vertical="center" wrapText="1"/>
      <protection hidden="1"/>
    </xf>
    <xf numFmtId="0" fontId="4" fillId="4" borderId="113" xfId="3" applyFont="1" applyFill="1" applyBorder="1" applyAlignment="1" applyProtection="1">
      <alignment horizontal="center" vertical="center" wrapText="1"/>
      <protection hidden="1"/>
    </xf>
    <xf numFmtId="0" fontId="4" fillId="4" borderId="153" xfId="3" applyFont="1" applyFill="1" applyBorder="1" applyAlignment="1" applyProtection="1">
      <alignment horizontal="center" vertical="center" wrapText="1"/>
      <protection hidden="1"/>
    </xf>
    <xf numFmtId="176" fontId="3" fillId="21" borderId="54" xfId="3" applyNumberFormat="1" applyFont="1" applyFill="1" applyBorder="1" applyAlignment="1" applyProtection="1">
      <alignment horizontal="center" vertical="center" wrapText="1"/>
      <protection hidden="1"/>
    </xf>
    <xf numFmtId="176" fontId="3" fillId="21" borderId="150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92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328" xfId="3" applyNumberFormat="1" applyFont="1" applyFill="1" applyBorder="1" applyAlignment="1" applyProtection="1">
      <alignment horizontal="center" vertical="center" wrapText="1"/>
      <protection hidden="1"/>
    </xf>
    <xf numFmtId="0" fontId="1" fillId="15" borderId="332" xfId="3" applyFill="1" applyBorder="1" applyAlignment="1" applyProtection="1">
      <alignment horizontal="center" vertical="center"/>
      <protection hidden="1"/>
    </xf>
    <xf numFmtId="0" fontId="1" fillId="15" borderId="405" xfId="3" applyFill="1" applyBorder="1" applyAlignment="1" applyProtection="1">
      <alignment horizontal="center" vertical="center"/>
      <protection hidden="1"/>
    </xf>
    <xf numFmtId="0" fontId="4" fillId="4" borderId="138" xfId="3" applyFont="1" applyFill="1" applyBorder="1" applyAlignment="1" applyProtection="1">
      <alignment horizontal="center" vertical="center" wrapText="1"/>
      <protection hidden="1"/>
    </xf>
    <xf numFmtId="0" fontId="4" fillId="4" borderId="139" xfId="3" applyFont="1" applyFill="1" applyBorder="1" applyAlignment="1" applyProtection="1">
      <alignment horizontal="center" vertical="center" wrapText="1"/>
      <protection hidden="1"/>
    </xf>
    <xf numFmtId="176" fontId="3" fillId="12" borderId="54" xfId="3" applyNumberFormat="1" applyFont="1" applyFill="1" applyBorder="1" applyAlignment="1" applyProtection="1">
      <alignment horizontal="center" vertical="center" wrapText="1"/>
      <protection hidden="1"/>
    </xf>
    <xf numFmtId="176" fontId="3" fillId="12" borderId="150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50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220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54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150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424" xfId="3" applyFill="1" applyBorder="1" applyAlignment="1" applyProtection="1">
      <alignment horizontal="center" vertical="center"/>
      <protection hidden="1"/>
    </xf>
    <xf numFmtId="0" fontId="1" fillId="2" borderId="427" xfId="3" applyFill="1" applyBorder="1" applyAlignment="1" applyProtection="1">
      <alignment horizontal="center" vertical="center"/>
      <protection hidden="1"/>
    </xf>
    <xf numFmtId="0" fontId="1" fillId="2" borderId="425" xfId="3" applyFill="1" applyBorder="1" applyAlignment="1" applyProtection="1">
      <alignment horizontal="center" vertical="center"/>
      <protection hidden="1"/>
    </xf>
    <xf numFmtId="0" fontId="1" fillId="2" borderId="335" xfId="3" applyFill="1" applyBorder="1" applyAlignment="1" applyProtection="1">
      <alignment horizontal="center" vertical="center"/>
      <protection hidden="1"/>
    </xf>
    <xf numFmtId="0" fontId="1" fillId="2" borderId="173" xfId="3" applyFill="1" applyBorder="1" applyAlignment="1" applyProtection="1">
      <alignment horizontal="center" vertical="center"/>
      <protection hidden="1"/>
    </xf>
    <xf numFmtId="0" fontId="1" fillId="2" borderId="336" xfId="3" applyFill="1" applyBorder="1" applyAlignment="1" applyProtection="1">
      <alignment horizontal="center" vertical="center"/>
      <protection hidden="1"/>
    </xf>
    <xf numFmtId="0" fontId="16" fillId="20" borderId="350" xfId="3" applyFont="1" applyFill="1" applyBorder="1" applyAlignment="1" applyProtection="1">
      <alignment horizontal="center" vertical="center" shrinkToFit="1"/>
      <protection locked="0"/>
    </xf>
    <xf numFmtId="0" fontId="16" fillId="20" borderId="351" xfId="3" applyFont="1" applyFill="1" applyBorder="1" applyAlignment="1" applyProtection="1">
      <alignment horizontal="center" vertical="center" shrinkToFit="1"/>
      <protection locked="0"/>
    </xf>
    <xf numFmtId="0" fontId="16" fillId="4" borderId="113" xfId="3" applyFont="1" applyFill="1" applyBorder="1" applyAlignment="1" applyProtection="1">
      <alignment horizontal="center" vertical="center" shrinkToFit="1"/>
      <protection hidden="1"/>
    </xf>
    <xf numFmtId="0" fontId="16" fillId="4" borderId="153" xfId="3" applyFont="1" applyFill="1" applyBorder="1" applyAlignment="1" applyProtection="1">
      <alignment horizontal="center" vertical="center" shrinkToFit="1"/>
      <protection hidden="1"/>
    </xf>
    <xf numFmtId="176" fontId="3" fillId="12" borderId="16" xfId="3" applyNumberFormat="1" applyFont="1" applyFill="1" applyBorder="1" applyAlignment="1" applyProtection="1">
      <alignment horizontal="center" vertical="center" wrapText="1"/>
      <protection hidden="1"/>
    </xf>
    <xf numFmtId="0" fontId="3" fillId="24" borderId="54" xfId="3" applyFont="1" applyFill="1" applyBorder="1" applyAlignment="1" applyProtection="1">
      <alignment horizontal="center" vertical="center" wrapText="1"/>
      <protection hidden="1"/>
    </xf>
    <xf numFmtId="0" fontId="3" fillId="24" borderId="16" xfId="3" applyFont="1" applyFill="1" applyBorder="1" applyAlignment="1" applyProtection="1">
      <alignment horizontal="center" vertical="center" wrapText="1"/>
      <protection hidden="1"/>
    </xf>
    <xf numFmtId="0" fontId="3" fillId="24" borderId="150" xfId="3" applyFont="1" applyFill="1" applyBorder="1" applyAlignment="1" applyProtection="1">
      <alignment horizontal="center" vertical="center" wrapText="1"/>
      <protection hidden="1"/>
    </xf>
    <xf numFmtId="0" fontId="16" fillId="20" borderId="340" xfId="3" applyFont="1" applyFill="1" applyBorder="1" applyAlignment="1" applyProtection="1">
      <alignment horizontal="center" vertical="center" shrinkToFit="1"/>
      <protection locked="0"/>
    </xf>
    <xf numFmtId="0" fontId="16" fillId="20" borderId="341" xfId="3" applyFont="1" applyFill="1" applyBorder="1" applyAlignment="1" applyProtection="1">
      <alignment horizontal="center" vertical="center" shrinkToFit="1"/>
      <protection locked="0"/>
    </xf>
    <xf numFmtId="0" fontId="3" fillId="24" borderId="54" xfId="3" applyFont="1" applyFill="1" applyBorder="1" applyAlignment="1" applyProtection="1">
      <alignment horizontal="center" vertical="center"/>
      <protection hidden="1"/>
    </xf>
    <xf numFmtId="0" fontId="3" fillId="24" borderId="16" xfId="3" applyFont="1" applyFill="1" applyBorder="1" applyAlignment="1" applyProtection="1">
      <alignment horizontal="center" vertical="center"/>
      <protection hidden="1"/>
    </xf>
    <xf numFmtId="0" fontId="3" fillId="24" borderId="150" xfId="3" applyFont="1" applyFill="1" applyBorder="1" applyAlignment="1" applyProtection="1">
      <alignment horizontal="center" vertical="center"/>
      <protection hidden="1"/>
    </xf>
    <xf numFmtId="0" fontId="16" fillId="22" borderId="97" xfId="3" applyFont="1" applyFill="1" applyBorder="1" applyAlignment="1" applyProtection="1">
      <alignment horizontal="center" vertical="center" wrapText="1"/>
      <protection hidden="1"/>
    </xf>
    <xf numFmtId="0" fontId="16" fillId="22" borderId="155" xfId="3" applyFont="1" applyFill="1" applyBorder="1" applyAlignment="1" applyProtection="1">
      <alignment horizontal="center" vertical="center" wrapText="1"/>
      <protection hidden="1"/>
    </xf>
    <xf numFmtId="0" fontId="16" fillId="20" borderId="97" xfId="3" applyFont="1" applyFill="1" applyBorder="1" applyAlignment="1" applyProtection="1">
      <alignment horizontal="center" vertical="center" shrinkToFit="1"/>
      <protection locked="0"/>
    </xf>
    <xf numFmtId="0" fontId="16" fillId="20" borderId="155" xfId="3" applyFont="1" applyFill="1" applyBorder="1" applyAlignment="1" applyProtection="1">
      <alignment horizontal="center" vertical="center" shrinkToFit="1"/>
      <protection locked="0"/>
    </xf>
    <xf numFmtId="0" fontId="16" fillId="8" borderId="113" xfId="3" applyFont="1" applyFill="1" applyBorder="1" applyAlignment="1" applyProtection="1">
      <alignment horizontal="center" vertical="center" shrinkToFit="1"/>
      <protection locked="0"/>
    </xf>
    <xf numFmtId="0" fontId="16" fillId="8" borderId="153" xfId="3" applyFont="1" applyFill="1" applyBorder="1" applyAlignment="1" applyProtection="1">
      <alignment horizontal="center" vertical="center" shrinkToFit="1"/>
      <protection locked="0"/>
    </xf>
    <xf numFmtId="176" fontId="3" fillId="6" borderId="77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92" xfId="3" applyNumberFormat="1" applyFont="1" applyFill="1" applyBorder="1" applyAlignment="1" applyProtection="1">
      <alignment horizontal="center" vertical="center"/>
      <protection hidden="1"/>
    </xf>
    <xf numFmtId="176" fontId="4" fillId="13" borderId="78" xfId="3" applyNumberFormat="1" applyFont="1" applyFill="1" applyBorder="1" applyAlignment="1" applyProtection="1">
      <alignment horizontal="center" vertical="center"/>
      <protection hidden="1"/>
    </xf>
    <xf numFmtId="176" fontId="4" fillId="13" borderId="328" xfId="3" applyNumberFormat="1" applyFont="1" applyFill="1" applyBorder="1" applyAlignment="1" applyProtection="1">
      <alignment horizontal="center" vertical="center"/>
      <protection hidden="1"/>
    </xf>
    <xf numFmtId="0" fontId="1" fillId="15" borderId="38" xfId="3" applyFill="1" applyBorder="1" applyAlignment="1" applyProtection="1">
      <alignment horizontal="center" vertical="center"/>
      <protection hidden="1"/>
    </xf>
    <xf numFmtId="0" fontId="16" fillId="20" borderId="361" xfId="3" applyFont="1" applyFill="1" applyBorder="1" applyAlignment="1" applyProtection="1">
      <alignment horizontal="center" vertical="center" shrinkToFit="1"/>
      <protection locked="0"/>
    </xf>
    <xf numFmtId="0" fontId="16" fillId="20" borderId="362" xfId="3" applyFont="1" applyFill="1" applyBorder="1" applyAlignment="1" applyProtection="1">
      <alignment horizontal="center" vertical="center" shrinkToFit="1"/>
      <protection locked="0"/>
    </xf>
    <xf numFmtId="176" fontId="3" fillId="23" borderId="54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16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150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92" xfId="3" applyNumberFormat="1" applyFont="1" applyFill="1" applyBorder="1" applyAlignment="1" applyProtection="1">
      <alignment horizontal="center" vertical="center"/>
      <protection hidden="1"/>
    </xf>
    <xf numFmtId="176" fontId="3" fillId="23" borderId="78" xfId="3" applyNumberFormat="1" applyFont="1" applyFill="1" applyBorder="1" applyAlignment="1" applyProtection="1">
      <alignment horizontal="center" vertical="center"/>
      <protection hidden="1"/>
    </xf>
    <xf numFmtId="176" fontId="3" fillId="23" borderId="328" xfId="3" applyNumberFormat="1" applyFont="1" applyFill="1" applyBorder="1" applyAlignment="1" applyProtection="1">
      <alignment horizontal="center" vertical="center"/>
      <protection hidden="1"/>
    </xf>
    <xf numFmtId="176" fontId="4" fillId="13" borderId="378" xfId="3" applyNumberFormat="1" applyFont="1" applyFill="1" applyBorder="1" applyAlignment="1" applyProtection="1">
      <alignment horizontal="center" vertical="center" wrapText="1"/>
      <protection hidden="1"/>
    </xf>
    <xf numFmtId="176" fontId="4" fillId="13" borderId="78" xfId="3" applyNumberFormat="1" applyFont="1" applyFill="1" applyBorder="1" applyAlignment="1" applyProtection="1">
      <alignment horizontal="center" vertical="center" wrapText="1"/>
      <protection hidden="1"/>
    </xf>
    <xf numFmtId="0" fontId="1" fillId="18" borderId="400" xfId="3" applyFill="1" applyBorder="1" applyAlignment="1" applyProtection="1">
      <alignment horizontal="center" vertical="center"/>
      <protection hidden="1"/>
    </xf>
    <xf numFmtId="0" fontId="1" fillId="18" borderId="38" xfId="3" applyFill="1" applyBorder="1" applyAlignment="1" applyProtection="1">
      <alignment horizontal="center" vertical="center"/>
      <protection hidden="1"/>
    </xf>
    <xf numFmtId="0" fontId="1" fillId="18" borderId="405" xfId="3" applyFill="1" applyBorder="1" applyAlignment="1" applyProtection="1">
      <alignment horizontal="center" vertical="center"/>
      <protection hidden="1"/>
    </xf>
    <xf numFmtId="0" fontId="3" fillId="25" borderId="54" xfId="3" applyFont="1" applyFill="1" applyBorder="1" applyAlignment="1" applyProtection="1">
      <alignment horizontal="center" vertical="center" wrapText="1"/>
      <protection hidden="1"/>
    </xf>
    <xf numFmtId="0" fontId="3" fillId="25" borderId="16" xfId="3" applyFont="1" applyFill="1" applyBorder="1" applyAlignment="1" applyProtection="1">
      <alignment horizontal="center" vertical="center" wrapText="1"/>
      <protection hidden="1"/>
    </xf>
    <xf numFmtId="0" fontId="3" fillId="25" borderId="150" xfId="3" applyFont="1" applyFill="1" applyBorder="1" applyAlignment="1" applyProtection="1">
      <alignment horizontal="center" vertical="center" wrapText="1"/>
      <protection hidden="1"/>
    </xf>
    <xf numFmtId="176" fontId="3" fillId="23" borderId="50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77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220" xfId="3" applyNumberFormat="1" applyFont="1" applyFill="1" applyBorder="1" applyAlignment="1" applyProtection="1">
      <alignment horizontal="center" vertical="center" wrapText="1"/>
      <protection hidden="1"/>
    </xf>
    <xf numFmtId="176" fontId="3" fillId="6" borderId="377" xfId="3" applyNumberFormat="1" applyFont="1" applyFill="1" applyBorder="1" applyAlignment="1" applyProtection="1">
      <alignment horizontal="center" vertical="center" wrapText="1"/>
      <protection hidden="1"/>
    </xf>
    <xf numFmtId="176" fontId="3" fillId="23" borderId="149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429" xfId="3" applyFill="1" applyBorder="1" applyAlignment="1" applyProtection="1">
      <alignment horizontal="center" vertical="center"/>
      <protection hidden="1"/>
    </xf>
    <xf numFmtId="0" fontId="1" fillId="2" borderId="115" xfId="3" applyFill="1" applyBorder="1" applyAlignment="1" applyProtection="1">
      <alignment horizontal="center" vertical="center"/>
      <protection hidden="1"/>
    </xf>
    <xf numFmtId="0" fontId="1" fillId="2" borderId="430" xfId="3" applyFill="1" applyBorder="1" applyAlignment="1" applyProtection="1">
      <alignment horizontal="center" vertical="center"/>
      <protection hidden="1"/>
    </xf>
    <xf numFmtId="0" fontId="1" fillId="2" borderId="149" xfId="3" applyFill="1" applyBorder="1" applyAlignment="1" applyProtection="1">
      <alignment horizontal="center" vertical="center"/>
      <protection hidden="1"/>
    </xf>
    <xf numFmtId="0" fontId="1" fillId="2" borderId="16" xfId="3" applyFill="1" applyBorder="1" applyAlignment="1" applyProtection="1">
      <alignment horizontal="center" vertical="center"/>
      <protection hidden="1"/>
    </xf>
    <xf numFmtId="0" fontId="1" fillId="2" borderId="388" xfId="3" applyFill="1" applyBorder="1" applyAlignment="1" applyProtection="1">
      <alignment horizontal="center" vertical="center"/>
      <protection hidden="1"/>
    </xf>
    <xf numFmtId="0" fontId="4" fillId="3" borderId="109" xfId="3" applyFont="1" applyFill="1" applyBorder="1" applyAlignment="1" applyProtection="1">
      <alignment horizontal="center" vertical="center" wrapText="1"/>
      <protection hidden="1"/>
    </xf>
    <xf numFmtId="0" fontId="4" fillId="3" borderId="18" xfId="3" applyFont="1" applyFill="1" applyBorder="1" applyAlignment="1" applyProtection="1">
      <alignment horizontal="center" vertical="center" wrapText="1"/>
      <protection hidden="1"/>
    </xf>
    <xf numFmtId="0" fontId="4" fillId="3" borderId="110" xfId="3" applyFont="1" applyFill="1" applyBorder="1" applyAlignment="1" applyProtection="1">
      <alignment horizontal="center" vertical="center" wrapText="1"/>
      <protection hidden="1"/>
    </xf>
    <xf numFmtId="180" fontId="4" fillId="3" borderId="151" xfId="3" applyNumberFormat="1" applyFont="1" applyFill="1" applyBorder="1" applyAlignment="1" applyProtection="1">
      <alignment horizontal="center" vertical="center" wrapText="1"/>
      <protection hidden="1"/>
    </xf>
    <xf numFmtId="180" fontId="4" fillId="3" borderId="371" xfId="3" applyNumberFormat="1" applyFont="1" applyFill="1" applyBorder="1" applyAlignment="1" applyProtection="1">
      <alignment horizontal="center" vertical="center" wrapText="1"/>
      <protection hidden="1"/>
    </xf>
    <xf numFmtId="176" fontId="3" fillId="18" borderId="372" xfId="3" applyNumberFormat="1" applyFont="1" applyFill="1" applyBorder="1" applyAlignment="1" applyProtection="1">
      <alignment horizontal="center" vertical="center" wrapText="1"/>
      <protection hidden="1"/>
    </xf>
    <xf numFmtId="176" fontId="3" fillId="18" borderId="376" xfId="3" applyNumberFormat="1" applyFont="1" applyFill="1" applyBorder="1" applyAlignment="1" applyProtection="1">
      <alignment horizontal="center" vertical="center" wrapText="1"/>
      <protection hidden="1"/>
    </xf>
    <xf numFmtId="176" fontId="3" fillId="18" borderId="413" xfId="3" applyNumberFormat="1" applyFont="1" applyFill="1" applyBorder="1" applyAlignment="1" applyProtection="1">
      <alignment horizontal="center" vertical="center" wrapText="1"/>
      <protection hidden="1"/>
    </xf>
    <xf numFmtId="0" fontId="3" fillId="18" borderId="400" xfId="3" applyFont="1" applyFill="1" applyBorder="1" applyAlignment="1" applyProtection="1">
      <alignment horizontal="center" vertical="center" shrinkToFit="1"/>
      <protection hidden="1"/>
    </xf>
    <xf numFmtId="0" fontId="3" fillId="18" borderId="405" xfId="3" applyFont="1" applyFill="1" applyBorder="1" applyAlignment="1" applyProtection="1">
      <alignment horizontal="center" vertical="center" shrinkToFit="1"/>
      <protection hidden="1"/>
    </xf>
    <xf numFmtId="0" fontId="4" fillId="14" borderId="112" xfId="3" applyFont="1" applyFill="1" applyBorder="1" applyAlignment="1" applyProtection="1">
      <alignment horizontal="center" vertical="center" wrapText="1"/>
      <protection hidden="1"/>
    </xf>
    <xf numFmtId="0" fontId="4" fillId="14" borderId="82" xfId="3" applyFont="1" applyFill="1" applyBorder="1" applyAlignment="1" applyProtection="1">
      <alignment horizontal="center" vertical="center" wrapText="1"/>
      <protection hidden="1"/>
    </xf>
    <xf numFmtId="0" fontId="4" fillId="4" borderId="114" xfId="3" applyFont="1" applyFill="1" applyBorder="1" applyAlignment="1" applyProtection="1">
      <alignment horizontal="center" vertical="center" wrapText="1"/>
      <protection hidden="1"/>
    </xf>
    <xf numFmtId="0" fontId="4" fillId="4" borderId="115" xfId="3" applyFont="1" applyFill="1" applyBorder="1" applyAlignment="1" applyProtection="1">
      <alignment horizontal="center" vertical="center" wrapText="1"/>
      <protection hidden="1"/>
    </xf>
    <xf numFmtId="0" fontId="4" fillId="4" borderId="116" xfId="3" applyFont="1" applyFill="1" applyBorder="1" applyAlignment="1" applyProtection="1">
      <alignment horizontal="center" vertical="center" wrapText="1"/>
      <protection hidden="1"/>
    </xf>
    <xf numFmtId="0" fontId="4" fillId="4" borderId="131" xfId="3" applyFont="1" applyFill="1" applyBorder="1" applyAlignment="1" applyProtection="1">
      <alignment horizontal="center" vertical="center" wrapText="1"/>
      <protection hidden="1"/>
    </xf>
    <xf numFmtId="0" fontId="4" fillId="4" borderId="20" xfId="3" applyFont="1" applyFill="1" applyBorder="1" applyAlignment="1" applyProtection="1">
      <alignment horizontal="center" vertical="center" wrapText="1"/>
      <protection hidden="1"/>
    </xf>
    <xf numFmtId="0" fontId="4" fillId="4" borderId="170" xfId="3" applyFont="1" applyFill="1" applyBorder="1" applyAlignment="1" applyProtection="1">
      <alignment horizontal="center" vertical="center" wrapText="1"/>
      <protection hidden="1"/>
    </xf>
    <xf numFmtId="176" fontId="3" fillId="22" borderId="149" xfId="3" applyNumberFormat="1" applyFont="1" applyFill="1" applyBorder="1" applyAlignment="1" applyProtection="1">
      <alignment horizontal="center" vertical="center" wrapText="1"/>
      <protection hidden="1"/>
    </xf>
    <xf numFmtId="176" fontId="3" fillId="22" borderId="16" xfId="3" applyNumberFormat="1" applyFont="1" applyFill="1" applyBorder="1" applyAlignment="1" applyProtection="1">
      <alignment horizontal="center" vertical="center" wrapText="1"/>
      <protection hidden="1"/>
    </xf>
    <xf numFmtId="176" fontId="3" fillId="22" borderId="172" xfId="3" applyNumberFormat="1" applyFont="1" applyFill="1" applyBorder="1" applyAlignment="1" applyProtection="1">
      <alignment horizontal="center" vertical="center" wrapText="1"/>
      <protection hidden="1"/>
    </xf>
    <xf numFmtId="0" fontId="3" fillId="12" borderId="149" xfId="3" applyFont="1" applyFill="1" applyBorder="1" applyAlignment="1" applyProtection="1">
      <alignment horizontal="center" vertical="center" wrapText="1"/>
      <protection hidden="1"/>
    </xf>
    <xf numFmtId="0" fontId="3" fillId="12" borderId="172" xfId="3" applyFont="1" applyFill="1" applyBorder="1" applyAlignment="1" applyProtection="1">
      <alignment horizontal="center" vertical="center" wrapText="1"/>
      <protection hidden="1"/>
    </xf>
    <xf numFmtId="0" fontId="4" fillId="4" borderId="12" xfId="3" applyFont="1" applyFill="1" applyBorder="1" applyAlignment="1" applyProtection="1">
      <alignment horizontal="center" vertical="center" wrapText="1"/>
      <protection hidden="1"/>
    </xf>
    <xf numFmtId="0" fontId="4" fillId="4" borderId="133" xfId="3" applyFont="1" applyFill="1" applyBorder="1" applyAlignment="1" applyProtection="1">
      <alignment horizontal="center" vertical="center" wrapText="1"/>
      <protection hidden="1"/>
    </xf>
    <xf numFmtId="0" fontId="4" fillId="4" borderId="23" xfId="3" applyFont="1" applyFill="1" applyBorder="1" applyAlignment="1" applyProtection="1">
      <alignment horizontal="center" vertical="center" wrapText="1"/>
      <protection hidden="1"/>
    </xf>
    <xf numFmtId="0" fontId="4" fillId="4" borderId="165" xfId="3" applyFont="1" applyFill="1" applyBorder="1" applyAlignment="1" applyProtection="1">
      <alignment horizontal="center" vertical="center" wrapText="1"/>
      <protection hidden="1"/>
    </xf>
    <xf numFmtId="0" fontId="4" fillId="4" borderId="137" xfId="3" applyFont="1" applyFill="1" applyBorder="1" applyAlignment="1" applyProtection="1">
      <alignment horizontal="center" vertical="center" wrapText="1"/>
      <protection hidden="1"/>
    </xf>
    <xf numFmtId="0" fontId="2" fillId="12" borderId="260" xfId="3" applyFont="1" applyFill="1" applyBorder="1" applyAlignment="1" applyProtection="1">
      <alignment horizontal="center" vertical="center"/>
      <protection hidden="1"/>
    </xf>
    <xf numFmtId="0" fontId="2" fillId="12" borderId="147" xfId="3" applyFont="1" applyFill="1" applyBorder="1" applyAlignment="1" applyProtection="1">
      <alignment horizontal="center" vertical="center"/>
      <protection hidden="1"/>
    </xf>
    <xf numFmtId="0" fontId="2" fillId="12" borderId="416" xfId="3" applyFont="1" applyFill="1" applyBorder="1" applyAlignment="1" applyProtection="1">
      <alignment horizontal="center" vertical="center"/>
      <protection hidden="1"/>
    </xf>
    <xf numFmtId="0" fontId="1" fillId="0" borderId="129" xfId="3" applyBorder="1" applyAlignment="1" applyProtection="1">
      <alignment horizontal="left" vertical="center" wrapText="1"/>
      <protection locked="0"/>
    </xf>
    <xf numFmtId="0" fontId="1" fillId="0" borderId="122" xfId="3" applyBorder="1" applyAlignment="1" applyProtection="1">
      <alignment horizontal="left" vertical="center" wrapText="1"/>
      <protection locked="0"/>
    </xf>
    <xf numFmtId="0" fontId="1" fillId="0" borderId="417" xfId="3" applyBorder="1" applyAlignment="1" applyProtection="1">
      <alignment horizontal="left" vertical="center" wrapText="1"/>
      <protection locked="0"/>
    </xf>
    <xf numFmtId="0" fontId="1" fillId="0" borderId="418" xfId="3" applyBorder="1" applyAlignment="1" applyProtection="1">
      <alignment horizontal="left" vertical="center" wrapText="1"/>
      <protection locked="0"/>
    </xf>
    <xf numFmtId="0" fontId="4" fillId="3" borderId="243" xfId="3" applyFont="1" applyFill="1" applyBorder="1" applyAlignment="1" applyProtection="1">
      <alignment horizontal="center" vertical="center" wrapText="1"/>
      <protection hidden="1"/>
    </xf>
    <xf numFmtId="0" fontId="4" fillId="19" borderId="410" xfId="3" applyFont="1" applyFill="1" applyBorder="1" applyAlignment="1" applyProtection="1">
      <alignment horizontal="center" vertical="center" wrapText="1"/>
      <protection hidden="1"/>
    </xf>
    <xf numFmtId="0" fontId="4" fillId="19" borderId="411" xfId="3" applyFont="1" applyFill="1" applyBorder="1" applyAlignment="1" applyProtection="1">
      <alignment horizontal="center" vertical="center"/>
      <protection hidden="1"/>
    </xf>
    <xf numFmtId="0" fontId="8" fillId="0" borderId="111" xfId="3" applyFont="1" applyBorder="1" applyAlignment="1">
      <alignment horizontal="left" vertical="center"/>
    </xf>
    <xf numFmtId="0" fontId="4" fillId="7" borderId="199" xfId="3" applyFont="1" applyFill="1" applyBorder="1" applyAlignment="1" applyProtection="1">
      <alignment horizontal="center" vertical="center" wrapText="1"/>
      <protection hidden="1"/>
    </xf>
    <xf numFmtId="0" fontId="4" fillId="7" borderId="20" xfId="3" applyFont="1" applyFill="1" applyBorder="1" applyAlignment="1" applyProtection="1">
      <alignment horizontal="center" vertical="center" wrapText="1"/>
      <protection hidden="1"/>
    </xf>
    <xf numFmtId="0" fontId="4" fillId="7" borderId="170" xfId="3" applyFont="1" applyFill="1" applyBorder="1" applyAlignment="1" applyProtection="1">
      <alignment horizontal="center" vertical="center" wrapText="1"/>
      <protection hidden="1"/>
    </xf>
    <xf numFmtId="37" fontId="2" fillId="7" borderId="131" xfId="3" applyNumberFormat="1" applyFont="1" applyFill="1" applyBorder="1" applyAlignment="1" applyProtection="1">
      <alignment horizontal="center" vertical="center" wrapText="1"/>
      <protection hidden="1"/>
    </xf>
    <xf numFmtId="37" fontId="2" fillId="7" borderId="244" xfId="3" applyNumberFormat="1" applyFont="1" applyFill="1" applyBorder="1" applyAlignment="1" applyProtection="1">
      <alignment horizontal="center" vertical="center" wrapText="1"/>
      <protection hidden="1"/>
    </xf>
    <xf numFmtId="0" fontId="4" fillId="3" borderId="390" xfId="3" applyFont="1" applyFill="1" applyBorder="1" applyAlignment="1" applyProtection="1">
      <alignment horizontal="center" vertical="center" wrapText="1"/>
      <protection hidden="1"/>
    </xf>
    <xf numFmtId="0" fontId="4" fillId="3" borderId="391" xfId="3" applyFont="1" applyFill="1" applyBorder="1" applyAlignment="1" applyProtection="1">
      <alignment horizontal="center" vertical="center" wrapText="1"/>
      <protection hidden="1"/>
    </xf>
    <xf numFmtId="0" fontId="4" fillId="3" borderId="392" xfId="3" applyFont="1" applyFill="1" applyBorder="1" applyAlignment="1" applyProtection="1">
      <alignment horizontal="center" vertical="center" wrapText="1"/>
      <protection hidden="1"/>
    </xf>
    <xf numFmtId="176" fontId="4" fillId="3" borderId="390" xfId="3" applyNumberFormat="1" applyFont="1" applyFill="1" applyBorder="1" applyAlignment="1" applyProtection="1">
      <alignment horizontal="center" vertical="center" wrapText="1"/>
      <protection hidden="1"/>
    </xf>
    <xf numFmtId="176" fontId="4" fillId="3" borderId="393" xfId="3" applyNumberFormat="1" applyFont="1" applyFill="1" applyBorder="1" applyAlignment="1" applyProtection="1">
      <alignment horizontal="center" vertical="center" wrapText="1"/>
      <protection hidden="1"/>
    </xf>
    <xf numFmtId="0" fontId="4" fillId="19" borderId="394" xfId="3" applyFont="1" applyFill="1" applyBorder="1" applyAlignment="1" applyProtection="1">
      <alignment horizontal="center" vertical="center"/>
      <protection hidden="1"/>
    </xf>
    <xf numFmtId="0" fontId="4" fillId="19" borderId="395" xfId="3" applyFont="1" applyFill="1" applyBorder="1" applyAlignment="1" applyProtection="1">
      <alignment horizontal="center" vertical="center"/>
      <protection hidden="1"/>
    </xf>
    <xf numFmtId="0" fontId="4" fillId="19" borderId="396" xfId="3" applyFont="1" applyFill="1" applyBorder="1" applyAlignment="1" applyProtection="1">
      <alignment horizontal="center" vertical="center"/>
      <protection hidden="1"/>
    </xf>
    <xf numFmtId="0" fontId="4" fillId="19" borderId="397" xfId="3" applyFont="1" applyFill="1" applyBorder="1" applyAlignment="1" applyProtection="1">
      <alignment horizontal="center" vertical="center" wrapText="1"/>
      <protection hidden="1"/>
    </xf>
    <xf numFmtId="0" fontId="4" fillId="19" borderId="404" xfId="3" applyFont="1" applyFill="1" applyBorder="1" applyAlignment="1" applyProtection="1">
      <alignment horizontal="center" vertical="center" wrapText="1"/>
      <protection hidden="1"/>
    </xf>
    <xf numFmtId="0" fontId="4" fillId="4" borderId="117" xfId="3" applyFont="1" applyFill="1" applyBorder="1" applyAlignment="1" applyProtection="1">
      <alignment horizontal="center" vertical="center" wrapText="1"/>
      <protection hidden="1"/>
    </xf>
    <xf numFmtId="0" fontId="4" fillId="4" borderId="43" xfId="3" applyFont="1" applyFill="1" applyBorder="1" applyAlignment="1" applyProtection="1">
      <alignment horizontal="center" vertical="center" wrapText="1"/>
      <protection hidden="1"/>
    </xf>
    <xf numFmtId="0" fontId="4" fillId="4" borderId="398" xfId="3" applyFont="1" applyFill="1" applyBorder="1" applyAlignment="1" applyProtection="1">
      <alignment horizontal="center" vertical="center" wrapText="1"/>
      <protection hidden="1"/>
    </xf>
    <xf numFmtId="0" fontId="3" fillId="22" borderId="156" xfId="3" applyFont="1" applyFill="1" applyBorder="1" applyAlignment="1" applyProtection="1">
      <alignment horizontal="center" vertical="center" wrapText="1"/>
      <protection hidden="1"/>
    </xf>
    <xf numFmtId="0" fontId="3" fillId="12" borderId="156" xfId="3" applyFont="1" applyFill="1" applyBorder="1" applyAlignment="1" applyProtection="1">
      <alignment horizontal="center" vertical="center" wrapText="1"/>
      <protection hidden="1"/>
    </xf>
    <xf numFmtId="176" fontId="3" fillId="23" borderId="377" xfId="3" applyNumberFormat="1" applyFont="1" applyFill="1" applyBorder="1" applyAlignment="1" applyProtection="1">
      <alignment horizontal="center" vertical="center" wrapText="1"/>
      <protection hidden="1"/>
    </xf>
    <xf numFmtId="0" fontId="1" fillId="2" borderId="379" xfId="3" applyFill="1" applyBorder="1" applyAlignment="1" applyProtection="1">
      <alignment horizontal="center" vertical="center"/>
      <protection hidden="1"/>
    </xf>
    <xf numFmtId="0" fontId="1" fillId="2" borderId="245" xfId="3" applyFill="1" applyBorder="1" applyAlignment="1" applyProtection="1">
      <alignment horizontal="center" vertical="center"/>
      <protection hidden="1"/>
    </xf>
    <xf numFmtId="0" fontId="1" fillId="2" borderId="389" xfId="3" applyFill="1" applyBorder="1" applyAlignment="1" applyProtection="1">
      <alignment horizontal="center" vertical="center"/>
      <protection hidden="1"/>
    </xf>
    <xf numFmtId="0" fontId="4" fillId="4" borderId="54" xfId="3" applyFont="1" applyFill="1" applyBorder="1" applyAlignment="1" applyProtection="1">
      <alignment horizontal="center" vertical="center" wrapText="1"/>
      <protection hidden="1"/>
    </xf>
    <xf numFmtId="0" fontId="4" fillId="4" borderId="150" xfId="3" applyFont="1" applyFill="1" applyBorder="1" applyAlignment="1" applyProtection="1">
      <alignment horizontal="center" vertical="center" wrapText="1"/>
      <protection hidden="1"/>
    </xf>
    <xf numFmtId="0" fontId="3" fillId="4" borderId="142" xfId="3" applyFont="1" applyFill="1" applyBorder="1" applyAlignment="1" applyProtection="1">
      <alignment horizontal="center" vertical="center" wrapText="1"/>
      <protection hidden="1"/>
    </xf>
    <xf numFmtId="0" fontId="3" fillId="4" borderId="15" xfId="3" applyFont="1" applyFill="1" applyBorder="1" applyAlignment="1" applyProtection="1">
      <alignment horizontal="center" vertical="center" wrapText="1"/>
      <protection hidden="1"/>
    </xf>
    <xf numFmtId="0" fontId="3" fillId="4" borderId="152" xfId="3" applyFont="1" applyFill="1" applyBorder="1" applyAlignment="1" applyProtection="1">
      <alignment horizontal="center" vertical="center" wrapText="1"/>
      <protection hidden="1"/>
    </xf>
    <xf numFmtId="0" fontId="3" fillId="4" borderId="113" xfId="3" applyFont="1" applyFill="1" applyBorder="1" applyAlignment="1" applyProtection="1">
      <alignment horizontal="center" vertical="center" wrapText="1"/>
      <protection hidden="1"/>
    </xf>
    <xf numFmtId="0" fontId="3" fillId="4" borderId="12" xfId="3" applyFont="1" applyFill="1" applyBorder="1" applyAlignment="1" applyProtection="1">
      <alignment horizontal="center" vertical="center" wrapText="1"/>
      <protection hidden="1"/>
    </xf>
    <xf numFmtId="0" fontId="3" fillId="4" borderId="153" xfId="3" applyFont="1" applyFill="1" applyBorder="1" applyAlignment="1" applyProtection="1">
      <alignment horizontal="center" vertical="center" wrapText="1"/>
      <protection hidden="1"/>
    </xf>
  </cellXfs>
  <cellStyles count="18">
    <cellStyle name="쉼표 [0]" xfId="1" builtinId="6"/>
    <cellStyle name="쉼표 [0] 2" xfId="2" xr:uid="{00000000-0005-0000-0000-000001000000}"/>
    <cellStyle name="쉼표 [0] 2 2" xfId="5" xr:uid="{00000000-0005-0000-0000-000002000000}"/>
    <cellStyle name="쉼표 [0] 2 2 2" xfId="9" xr:uid="{00000000-0005-0000-0000-000003000000}"/>
    <cellStyle name="쉼표 [0] 2 2 2 2" xfId="17" xr:uid="{00000000-0005-0000-0000-000004000000}"/>
    <cellStyle name="쉼표 [0] 2 2 3" xfId="13" xr:uid="{00000000-0005-0000-0000-000005000000}"/>
    <cellStyle name="쉼표 [0] 2 3" xfId="7" xr:uid="{00000000-0005-0000-0000-000006000000}"/>
    <cellStyle name="쉼표 [0] 2 3 2" xfId="15" xr:uid="{00000000-0005-0000-0000-000007000000}"/>
    <cellStyle name="쉼표 [0] 2 4" xfId="11" xr:uid="{00000000-0005-0000-0000-000008000000}"/>
    <cellStyle name="쉼표 [0] 3" xfId="4" xr:uid="{00000000-0005-0000-0000-000009000000}"/>
    <cellStyle name="쉼표 [0] 3 2" xfId="8" xr:uid="{00000000-0005-0000-0000-00000A000000}"/>
    <cellStyle name="쉼표 [0] 3 2 2" xfId="16" xr:uid="{00000000-0005-0000-0000-00000B000000}"/>
    <cellStyle name="쉼표 [0] 3 3" xfId="12" xr:uid="{00000000-0005-0000-0000-00000C000000}"/>
    <cellStyle name="쉼표 [0] 4" xfId="6" xr:uid="{00000000-0005-0000-0000-00000D000000}"/>
    <cellStyle name="쉼표 [0] 4 2" xfId="14" xr:uid="{00000000-0005-0000-0000-00000E000000}"/>
    <cellStyle name="쉼표 [0] 5" xfId="10" xr:uid="{00000000-0005-0000-0000-00000F000000}"/>
    <cellStyle name="표준" xfId="0" builtinId="0"/>
    <cellStyle name="표준 2" xfId="3" xr:uid="{00000000-0005-0000-0000-000011000000}"/>
  </cellStyles>
  <dxfs count="243">
    <dxf>
      <font>
        <color theme="0"/>
      </font>
    </dxf>
    <dxf>
      <font>
        <color rgb="FFFFFFFF"/>
      </font>
    </dxf>
    <dxf>
      <font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rgb="FFFFFFFF"/>
      </font>
    </dxf>
    <dxf>
      <font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theme="9" tint="0.59996337778862885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C00000"/>
      </font>
    </dxf>
    <dxf>
      <font>
        <b/>
        <color rgb="FF0070C0"/>
      </font>
    </dxf>
    <dxf>
      <font>
        <b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8CBAC"/>
        </patternFill>
      </fill>
    </dxf>
    <dxf>
      <font>
        <b/>
        <color rgb="FFFF0000"/>
      </font>
      <fill>
        <patternFill>
          <bgColor rgb="FFF8CBAC"/>
        </patternFill>
      </fill>
    </dxf>
    <dxf>
      <font>
        <b/>
        <color rgb="FF0070C0"/>
      </font>
      <numFmt numFmtId="181" formatCode="0_ "/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sz val="11"/>
        <color theme="0"/>
      </font>
      <fill>
        <patternFill patternType="solid">
          <fgColor indexed="65"/>
          <bgColor rgb="FFFF0000"/>
        </patternFill>
      </fill>
      <border diagonalUp="1" diagonalDown="1">
        <diagonal/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B4C6E7"/>
      <color rgb="FFE2F0D9"/>
      <color rgb="FFFAD0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J51"/>
  <sheetViews>
    <sheetView topLeftCell="A31" zoomScaleNormal="100" zoomScaleSheetLayoutView="75" workbookViewId="0">
      <selection activeCell="Y12" sqref="Y12"/>
    </sheetView>
  </sheetViews>
  <sheetFormatPr defaultColWidth="8.75" defaultRowHeight="16.5" x14ac:dyDescent="0.3"/>
  <cols>
    <col min="1" max="1" width="7.625" customWidth="1"/>
    <col min="2" max="2" width="6.5" bestFit="1" customWidth="1"/>
    <col min="3" max="4" width="5.625" customWidth="1"/>
    <col min="5" max="5" width="8.25" bestFit="1" customWidth="1"/>
    <col min="6" max="6" width="5.75" bestFit="1" customWidth="1"/>
    <col min="7" max="8" width="5.375" customWidth="1"/>
    <col min="9" max="16" width="5.625" customWidth="1"/>
    <col min="17" max="17" width="4.875" customWidth="1"/>
    <col min="18" max="20" width="6.25" customWidth="1"/>
    <col min="21" max="21" width="7.25" customWidth="1"/>
    <col min="22" max="22" width="7.75" customWidth="1"/>
    <col min="23" max="23" width="8" customWidth="1"/>
    <col min="24" max="25" width="6.625" customWidth="1"/>
    <col min="26" max="26" width="7.625" style="2" customWidth="1"/>
    <col min="27" max="27" width="7.5" style="2" customWidth="1"/>
    <col min="28" max="29" width="5.5" style="2" customWidth="1"/>
    <col min="30" max="30" width="7.5" customWidth="1"/>
    <col min="31" max="31" width="42.375" customWidth="1"/>
  </cols>
  <sheetData>
    <row r="1" spans="1:36" ht="26.25" x14ac:dyDescent="0.3">
      <c r="A1" s="547" t="s">
        <v>127</v>
      </c>
      <c r="B1" s="547"/>
      <c r="C1" s="547"/>
      <c r="D1" s="547"/>
      <c r="E1" s="547"/>
      <c r="F1" s="548" t="s">
        <v>80</v>
      </c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77"/>
      <c r="R1" s="77"/>
      <c r="S1" s="77"/>
      <c r="T1" s="77"/>
      <c r="U1" s="77"/>
      <c r="V1" s="77"/>
      <c r="W1" s="77"/>
      <c r="X1" s="77"/>
      <c r="Y1" s="77"/>
      <c r="Z1" s="77"/>
      <c r="AA1" s="572"/>
      <c r="AB1" s="572"/>
      <c r="AC1" s="572"/>
      <c r="AD1" s="572"/>
      <c r="AE1" s="572"/>
      <c r="AF1" s="572"/>
      <c r="AG1" s="572"/>
      <c r="AH1" s="572"/>
    </row>
    <row r="2" spans="1:36" ht="17.2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6" ht="18.600000000000001" customHeight="1" thickTop="1" thickBot="1" x14ac:dyDescent="0.35">
      <c r="A3" s="606" t="s">
        <v>38</v>
      </c>
      <c r="B3" s="583"/>
      <c r="C3" s="583"/>
      <c r="D3" s="583"/>
      <c r="E3" s="607"/>
      <c r="F3" s="580" t="s">
        <v>50</v>
      </c>
      <c r="G3" s="582" t="s">
        <v>55</v>
      </c>
      <c r="H3" s="583"/>
      <c r="I3" s="588" t="s">
        <v>33</v>
      </c>
      <c r="J3" s="589"/>
      <c r="K3" s="589"/>
      <c r="L3" s="590"/>
      <c r="M3" s="598" t="s">
        <v>43</v>
      </c>
      <c r="N3" s="598"/>
      <c r="O3" s="596" t="s">
        <v>30</v>
      </c>
      <c r="P3" s="597"/>
      <c r="Q3" s="604" t="s">
        <v>52</v>
      </c>
      <c r="R3" s="600" t="s">
        <v>74</v>
      </c>
      <c r="S3" s="543" t="s">
        <v>129</v>
      </c>
      <c r="T3" s="545" t="s">
        <v>67</v>
      </c>
      <c r="U3" s="594" t="s">
        <v>17</v>
      </c>
      <c r="V3" s="602" t="s">
        <v>5</v>
      </c>
      <c r="W3" s="573" t="s">
        <v>10</v>
      </c>
      <c r="X3" s="573" t="s">
        <v>57</v>
      </c>
      <c r="Y3" s="573" t="s">
        <v>62</v>
      </c>
      <c r="Z3" s="586" t="s">
        <v>15</v>
      </c>
      <c r="AA3"/>
      <c r="AB3"/>
      <c r="AC3"/>
    </row>
    <row r="4" spans="1:36" ht="28.5" customHeight="1" thickBot="1" x14ac:dyDescent="0.35">
      <c r="A4" s="608"/>
      <c r="B4" s="585"/>
      <c r="C4" s="585"/>
      <c r="D4" s="585"/>
      <c r="E4" s="609"/>
      <c r="F4" s="581"/>
      <c r="G4" s="584"/>
      <c r="H4" s="585"/>
      <c r="I4" s="193" t="s">
        <v>64</v>
      </c>
      <c r="J4" s="101" t="s">
        <v>66</v>
      </c>
      <c r="K4" s="52" t="s">
        <v>65</v>
      </c>
      <c r="L4" s="194" t="s">
        <v>81</v>
      </c>
      <c r="M4" s="102" t="s">
        <v>70</v>
      </c>
      <c r="N4" s="103" t="s">
        <v>69</v>
      </c>
      <c r="O4" s="214" t="s">
        <v>70</v>
      </c>
      <c r="P4" s="215" t="s">
        <v>69</v>
      </c>
      <c r="Q4" s="605"/>
      <c r="R4" s="601"/>
      <c r="S4" s="544"/>
      <c r="T4" s="546"/>
      <c r="U4" s="595"/>
      <c r="V4" s="603"/>
      <c r="W4" s="599"/>
      <c r="X4" s="574"/>
      <c r="Y4" s="574"/>
      <c r="Z4" s="587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8" thickTop="1" thickBot="1" x14ac:dyDescent="0.35">
      <c r="A5" s="634" t="s">
        <v>42</v>
      </c>
      <c r="B5" s="558" t="s">
        <v>40</v>
      </c>
      <c r="C5" s="559"/>
      <c r="D5" s="559"/>
      <c r="E5" s="560"/>
      <c r="F5" s="104">
        <v>442</v>
      </c>
      <c r="G5" s="539">
        <f>SUM(J5,L5,M5,N5,O5,P5)</f>
        <v>425</v>
      </c>
      <c r="H5" s="540"/>
      <c r="I5" s="165">
        <v>85</v>
      </c>
      <c r="J5" s="5">
        <v>68</v>
      </c>
      <c r="K5" s="24">
        <f t="shared" ref="K5:K19" si="0">J5-I5</f>
        <v>-17</v>
      </c>
      <c r="L5" s="195">
        <v>85</v>
      </c>
      <c r="M5" s="17">
        <v>68</v>
      </c>
      <c r="N5" s="42">
        <v>68</v>
      </c>
      <c r="O5" s="216">
        <v>68</v>
      </c>
      <c r="P5" s="217">
        <v>68</v>
      </c>
      <c r="Q5" s="187">
        <f t="shared" ref="Q5:Q25" si="1">IF(ISBLANK(I5),0,1)+IF(ISBLANK(L5),0,1)+IF(ISBLANK(M5),0,1)+IF(ISBLANK(N5),0,1)+IF(ISBLANK(O5),0,1)+IF(ISBLANK(P5),0,1)</f>
        <v>6</v>
      </c>
      <c r="R5" s="27">
        <f t="shared" ref="R5:R14" si="2">SUM(I5,L5,M5,N5,O5,P5)-W5</f>
        <v>0</v>
      </c>
      <c r="S5" s="28">
        <f t="shared" ref="S5:S17" si="3">K5</f>
        <v>-17</v>
      </c>
      <c r="T5" s="71">
        <f>SUM(R5:S5)</f>
        <v>-17</v>
      </c>
      <c r="U5" s="78" t="str">
        <f>IF(AND(G5&gt;=X5,G5&lt;=Y5),"○",IF(G5&lt;X5,"▽","△"))</f>
        <v>○</v>
      </c>
      <c r="V5" s="79"/>
      <c r="W5" s="80">
        <v>442</v>
      </c>
      <c r="X5" s="81">
        <v>354</v>
      </c>
      <c r="Y5" s="81">
        <v>530</v>
      </c>
      <c r="Z5" s="134">
        <f>TRUNC(W5*0.2,0)</f>
        <v>88</v>
      </c>
      <c r="AA5"/>
      <c r="AB5"/>
      <c r="AC5"/>
    </row>
    <row r="6" spans="1:36" ht="17.25" customHeight="1" thickTop="1" x14ac:dyDescent="0.3">
      <c r="A6" s="535"/>
      <c r="B6" s="566" t="s">
        <v>1</v>
      </c>
      <c r="C6" s="567"/>
      <c r="D6" s="556" t="s">
        <v>44</v>
      </c>
      <c r="E6" s="557"/>
      <c r="F6" s="549">
        <v>510</v>
      </c>
      <c r="G6" s="591">
        <f>SUM(H6:H8)</f>
        <v>476</v>
      </c>
      <c r="H6" s="255">
        <f t="shared" ref="H6:H8" si="4">SUM(M6,N6,O6,P6,L6,J6)</f>
        <v>136</v>
      </c>
      <c r="I6" s="166">
        <v>34</v>
      </c>
      <c r="J6" s="58">
        <v>34</v>
      </c>
      <c r="K6" s="53">
        <f t="shared" si="0"/>
        <v>0</v>
      </c>
      <c r="L6" s="196">
        <v>34</v>
      </c>
      <c r="M6" s="36"/>
      <c r="N6" s="39"/>
      <c r="O6" s="218">
        <v>34</v>
      </c>
      <c r="P6" s="219">
        <v>34</v>
      </c>
      <c r="Q6" s="188">
        <f t="shared" si="1"/>
        <v>4</v>
      </c>
      <c r="R6" s="114">
        <f t="shared" si="2"/>
        <v>-34</v>
      </c>
      <c r="S6" s="117">
        <f t="shared" si="3"/>
        <v>0</v>
      </c>
      <c r="T6" s="122">
        <f t="shared" ref="T6:T17" si="5">SUM(R6:S6)</f>
        <v>-34</v>
      </c>
      <c r="U6" s="82" t="str">
        <f>IF(AND(H6&gt;=X6,H6&lt;=Y6),"○",IF(H6&lt;X6,"▽","△"))</f>
        <v>○</v>
      </c>
      <c r="V6" s="83"/>
      <c r="W6" s="111">
        <v>170</v>
      </c>
      <c r="X6" s="111">
        <v>136</v>
      </c>
      <c r="Y6" s="111">
        <v>204</v>
      </c>
      <c r="Z6" s="575">
        <f>TRUNC(SUM(W6:W8)*0.2,0)</f>
        <v>102</v>
      </c>
      <c r="AA6"/>
      <c r="AB6"/>
      <c r="AC6"/>
    </row>
    <row r="7" spans="1:36" x14ac:dyDescent="0.3">
      <c r="A7" s="535"/>
      <c r="B7" s="568"/>
      <c r="C7" s="569"/>
      <c r="D7" s="552" t="s">
        <v>36</v>
      </c>
      <c r="E7" s="553"/>
      <c r="F7" s="550"/>
      <c r="G7" s="592"/>
      <c r="H7" s="255">
        <f t="shared" si="4"/>
        <v>170</v>
      </c>
      <c r="I7" s="167"/>
      <c r="J7" s="59"/>
      <c r="K7" s="54">
        <f t="shared" si="0"/>
        <v>0</v>
      </c>
      <c r="L7" s="197"/>
      <c r="M7" s="37">
        <v>51</v>
      </c>
      <c r="N7" s="40">
        <v>51</v>
      </c>
      <c r="O7" s="220">
        <v>34</v>
      </c>
      <c r="P7" s="221">
        <v>34</v>
      </c>
      <c r="Q7" s="189">
        <f t="shared" si="1"/>
        <v>4</v>
      </c>
      <c r="R7" s="115">
        <f t="shared" si="2"/>
        <v>0</v>
      </c>
      <c r="S7" s="118">
        <f t="shared" si="3"/>
        <v>0</v>
      </c>
      <c r="T7" s="72">
        <f t="shared" si="5"/>
        <v>0</v>
      </c>
      <c r="U7" s="82" t="str">
        <f>IF(AND(H7&gt;=X7,H7&lt;=Y7),"○",IF(H7&lt;X7,"▽","△"))</f>
        <v>○</v>
      </c>
      <c r="V7" s="84"/>
      <c r="W7" s="112">
        <v>170</v>
      </c>
      <c r="X7" s="112">
        <v>136</v>
      </c>
      <c r="Y7" s="112">
        <v>204</v>
      </c>
      <c r="Z7" s="576"/>
      <c r="AA7"/>
      <c r="AB7"/>
      <c r="AC7"/>
    </row>
    <row r="8" spans="1:36" ht="17.25" thickBot="1" x14ac:dyDescent="0.35">
      <c r="A8" s="535"/>
      <c r="B8" s="570"/>
      <c r="C8" s="571"/>
      <c r="D8" s="554" t="s">
        <v>29</v>
      </c>
      <c r="E8" s="555"/>
      <c r="F8" s="551"/>
      <c r="G8" s="593"/>
      <c r="H8" s="156">
        <f t="shared" si="4"/>
        <v>170</v>
      </c>
      <c r="I8" s="168">
        <v>34</v>
      </c>
      <c r="J8" s="60">
        <v>34</v>
      </c>
      <c r="K8" s="55">
        <f t="shared" si="0"/>
        <v>0</v>
      </c>
      <c r="L8" s="198">
        <v>34</v>
      </c>
      <c r="M8" s="38">
        <v>17</v>
      </c>
      <c r="N8" s="41">
        <v>17</v>
      </c>
      <c r="O8" s="222">
        <v>34</v>
      </c>
      <c r="P8" s="223">
        <v>34</v>
      </c>
      <c r="Q8" s="190">
        <f t="shared" si="1"/>
        <v>6</v>
      </c>
      <c r="R8" s="116">
        <f t="shared" si="2"/>
        <v>0</v>
      </c>
      <c r="S8" s="119">
        <f t="shared" si="3"/>
        <v>0</v>
      </c>
      <c r="T8" s="73">
        <f t="shared" si="5"/>
        <v>0</v>
      </c>
      <c r="U8" s="82" t="str">
        <f>IF(AND(H8&gt;=X8,H8&lt;=Y8),"○",IF(H8&lt;X8,"▽","△"))</f>
        <v>○</v>
      </c>
      <c r="V8" s="85"/>
      <c r="W8" s="113">
        <v>170</v>
      </c>
      <c r="X8" s="113">
        <v>136</v>
      </c>
      <c r="Y8" s="113">
        <v>204</v>
      </c>
      <c r="Z8" s="577"/>
      <c r="AA8"/>
      <c r="AB8"/>
      <c r="AC8"/>
    </row>
    <row r="9" spans="1:36" ht="18" thickTop="1" thickBot="1" x14ac:dyDescent="0.35">
      <c r="A9" s="535"/>
      <c r="B9" s="558" t="s">
        <v>34</v>
      </c>
      <c r="C9" s="559"/>
      <c r="D9" s="559"/>
      <c r="E9" s="560"/>
      <c r="F9" s="104">
        <v>374</v>
      </c>
      <c r="G9" s="539">
        <f>SUM(J9,L9,M9,N9,O9,P9)</f>
        <v>357</v>
      </c>
      <c r="H9" s="540"/>
      <c r="I9" s="165">
        <v>68</v>
      </c>
      <c r="J9" s="5">
        <v>51</v>
      </c>
      <c r="K9" s="24">
        <f t="shared" si="0"/>
        <v>-17</v>
      </c>
      <c r="L9" s="195">
        <v>68</v>
      </c>
      <c r="M9" s="17">
        <v>51</v>
      </c>
      <c r="N9" s="42">
        <v>51</v>
      </c>
      <c r="O9" s="224">
        <v>68</v>
      </c>
      <c r="P9" s="217">
        <v>68</v>
      </c>
      <c r="Q9" s="187">
        <f t="shared" si="1"/>
        <v>6</v>
      </c>
      <c r="R9" s="27">
        <f t="shared" si="2"/>
        <v>0</v>
      </c>
      <c r="S9" s="28">
        <f t="shared" si="3"/>
        <v>-17</v>
      </c>
      <c r="T9" s="71">
        <f t="shared" si="5"/>
        <v>-17</v>
      </c>
      <c r="U9" s="78" t="str">
        <f>IF(AND(G9&gt;=X9,G9&lt;=Y9),"○",IF(G9&lt;X9,"▽","△"))</f>
        <v>○</v>
      </c>
      <c r="V9" s="86"/>
      <c r="W9" s="80">
        <v>374</v>
      </c>
      <c r="X9" s="80">
        <v>300</v>
      </c>
      <c r="Y9" s="80">
        <v>448</v>
      </c>
      <c r="Z9" s="135">
        <f>TRUNC(W9*0.2,0)</f>
        <v>74</v>
      </c>
      <c r="AA9"/>
      <c r="AB9"/>
      <c r="AC9"/>
    </row>
    <row r="10" spans="1:36" ht="17.25" customHeight="1" thickTop="1" x14ac:dyDescent="0.3">
      <c r="A10" s="535"/>
      <c r="B10" s="566" t="s">
        <v>2</v>
      </c>
      <c r="C10" s="567"/>
      <c r="D10" s="556" t="s">
        <v>25</v>
      </c>
      <c r="E10" s="557"/>
      <c r="F10" s="549">
        <v>680</v>
      </c>
      <c r="G10" s="549">
        <f>SUM(H10:H12)</f>
        <v>612</v>
      </c>
      <c r="H10" s="158">
        <f t="shared" ref="H10:H16" si="6">SUM(M10,N10,O10,P10,L10,J10)</f>
        <v>357</v>
      </c>
      <c r="I10" s="169">
        <v>51</v>
      </c>
      <c r="J10" s="6">
        <v>34</v>
      </c>
      <c r="K10" s="25">
        <f t="shared" si="0"/>
        <v>-17</v>
      </c>
      <c r="L10" s="199">
        <v>51</v>
      </c>
      <c r="M10" s="18">
        <v>68</v>
      </c>
      <c r="N10" s="43">
        <v>68</v>
      </c>
      <c r="O10" s="225">
        <v>68</v>
      </c>
      <c r="P10" s="226">
        <v>68</v>
      </c>
      <c r="Q10" s="188">
        <f t="shared" si="1"/>
        <v>6</v>
      </c>
      <c r="R10" s="114">
        <f t="shared" si="2"/>
        <v>0</v>
      </c>
      <c r="S10" s="117">
        <f t="shared" si="3"/>
        <v>-17</v>
      </c>
      <c r="T10" s="122">
        <f t="shared" si="5"/>
        <v>-17</v>
      </c>
      <c r="U10" s="82" t="str">
        <f>IF(AND(H10&gt;=X10,H10&lt;=Y10),"○",IF(H10&lt;X10,"▽","△"))</f>
        <v>○</v>
      </c>
      <c r="V10" s="83"/>
      <c r="W10" s="111">
        <v>374</v>
      </c>
      <c r="X10" s="111">
        <v>300</v>
      </c>
      <c r="Y10" s="111">
        <v>448</v>
      </c>
      <c r="Z10" s="575">
        <f>TRUNC(SUM(W10:W12)*0.2,0)</f>
        <v>136</v>
      </c>
      <c r="AA10"/>
      <c r="AB10"/>
      <c r="AC10"/>
    </row>
    <row r="11" spans="1:36" ht="16.5" customHeight="1" x14ac:dyDescent="0.3">
      <c r="A11" s="535"/>
      <c r="B11" s="568"/>
      <c r="C11" s="569"/>
      <c r="D11" s="552" t="s">
        <v>60</v>
      </c>
      <c r="E11" s="553"/>
      <c r="F11" s="550"/>
      <c r="G11" s="550"/>
      <c r="H11" s="159">
        <f t="shared" si="6"/>
        <v>221</v>
      </c>
      <c r="I11" s="170">
        <v>34</v>
      </c>
      <c r="J11" s="7">
        <v>17</v>
      </c>
      <c r="K11" s="22">
        <f t="shared" si="0"/>
        <v>-17</v>
      </c>
      <c r="L11" s="200">
        <v>34</v>
      </c>
      <c r="M11" s="16">
        <v>34</v>
      </c>
      <c r="N11" s="44">
        <v>34</v>
      </c>
      <c r="O11" s="227">
        <v>51</v>
      </c>
      <c r="P11" s="228">
        <v>51</v>
      </c>
      <c r="Q11" s="189">
        <f t="shared" si="1"/>
        <v>6</v>
      </c>
      <c r="R11" s="115">
        <f t="shared" si="2"/>
        <v>-34</v>
      </c>
      <c r="S11" s="118">
        <f t="shared" si="3"/>
        <v>-17</v>
      </c>
      <c r="T11" s="72">
        <f t="shared" si="5"/>
        <v>-51</v>
      </c>
      <c r="U11" s="82" t="str">
        <f>IF(AND(H11&gt;=X11,H11&lt;=Y11),"○",IF(H11&lt;X11,"▽","△"))</f>
        <v>○</v>
      </c>
      <c r="V11" s="84"/>
      <c r="W11" s="112">
        <v>272</v>
      </c>
      <c r="X11" s="112">
        <v>218</v>
      </c>
      <c r="Y11" s="112">
        <v>326</v>
      </c>
      <c r="Z11" s="576"/>
      <c r="AA11"/>
      <c r="AB11"/>
      <c r="AC11"/>
    </row>
    <row r="12" spans="1:36" ht="17.25" thickBot="1" x14ac:dyDescent="0.35">
      <c r="A12" s="535"/>
      <c r="B12" s="570"/>
      <c r="C12" s="571"/>
      <c r="D12" s="554" t="s">
        <v>37</v>
      </c>
      <c r="E12" s="555"/>
      <c r="F12" s="551"/>
      <c r="G12" s="551"/>
      <c r="H12" s="156">
        <f t="shared" si="6"/>
        <v>34</v>
      </c>
      <c r="I12" s="171">
        <v>17</v>
      </c>
      <c r="J12" s="8">
        <v>17</v>
      </c>
      <c r="K12" s="23">
        <f t="shared" si="0"/>
        <v>0</v>
      </c>
      <c r="L12" s="201">
        <v>17</v>
      </c>
      <c r="M12" s="15"/>
      <c r="N12" s="45"/>
      <c r="O12" s="229"/>
      <c r="P12" s="230"/>
      <c r="Q12" s="190">
        <f t="shared" si="1"/>
        <v>2</v>
      </c>
      <c r="R12" s="116">
        <f t="shared" si="2"/>
        <v>0</v>
      </c>
      <c r="S12" s="119">
        <f t="shared" si="3"/>
        <v>0</v>
      </c>
      <c r="T12" s="73">
        <f t="shared" si="5"/>
        <v>0</v>
      </c>
      <c r="U12" s="110" t="str">
        <f>IF(AND(H12&gt;=X12,H12&lt;=Y12),"○",IF(H12&lt;X12,"▽","△"))</f>
        <v>○</v>
      </c>
      <c r="V12" s="85"/>
      <c r="W12" s="113">
        <v>34</v>
      </c>
      <c r="X12" s="113">
        <v>34</v>
      </c>
      <c r="Y12" s="113">
        <v>40</v>
      </c>
      <c r="Z12" s="577"/>
      <c r="AA12"/>
      <c r="AB12"/>
      <c r="AC12"/>
    </row>
    <row r="13" spans="1:36" ht="17.25" thickTop="1" x14ac:dyDescent="0.3">
      <c r="A13" s="535"/>
      <c r="B13" s="561" t="s">
        <v>27</v>
      </c>
      <c r="C13" s="562"/>
      <c r="D13" s="556" t="s">
        <v>27</v>
      </c>
      <c r="E13" s="557"/>
      <c r="F13" s="549">
        <v>272</v>
      </c>
      <c r="G13" s="591">
        <f>SUM(H13:H14)</f>
        <v>255</v>
      </c>
      <c r="H13" s="158">
        <f t="shared" si="6"/>
        <v>255</v>
      </c>
      <c r="I13" s="172">
        <v>51</v>
      </c>
      <c r="J13" s="12">
        <v>34</v>
      </c>
      <c r="K13" s="25">
        <f t="shared" si="0"/>
        <v>-17</v>
      </c>
      <c r="L13" s="202">
        <v>51</v>
      </c>
      <c r="M13" s="13">
        <v>34</v>
      </c>
      <c r="N13" s="46">
        <v>34</v>
      </c>
      <c r="O13" s="231">
        <v>51</v>
      </c>
      <c r="P13" s="232">
        <v>51</v>
      </c>
      <c r="Q13" s="191">
        <f t="shared" si="1"/>
        <v>6</v>
      </c>
      <c r="R13" s="181">
        <f t="shared" si="2"/>
        <v>0</v>
      </c>
      <c r="S13" s="182">
        <f t="shared" si="3"/>
        <v>-17</v>
      </c>
      <c r="T13" s="183">
        <f t="shared" si="5"/>
        <v>-17</v>
      </c>
      <c r="U13" s="184" t="str">
        <f>IF(AND(H13-S13&gt;=X13,H13-S13&lt;=Y13),"○",IF(H13-S13&lt;X13,"▽","△"))</f>
        <v>○</v>
      </c>
      <c r="V13" s="87"/>
      <c r="W13" s="88">
        <v>272</v>
      </c>
      <c r="X13" s="88">
        <v>272</v>
      </c>
      <c r="Y13" s="88">
        <v>326</v>
      </c>
      <c r="Z13" s="136"/>
      <c r="AA13"/>
      <c r="AB13"/>
      <c r="AC13"/>
    </row>
    <row r="14" spans="1:36" ht="17.25" customHeight="1" thickBot="1" x14ac:dyDescent="0.35">
      <c r="A14" s="535"/>
      <c r="B14" s="563"/>
      <c r="C14" s="564"/>
      <c r="D14" s="578" t="s">
        <v>0</v>
      </c>
      <c r="E14" s="579"/>
      <c r="F14" s="551"/>
      <c r="G14" s="593"/>
      <c r="H14" s="156">
        <f t="shared" si="6"/>
        <v>0</v>
      </c>
      <c r="I14" s="173"/>
      <c r="J14" s="19"/>
      <c r="K14" s="23">
        <f t="shared" si="0"/>
        <v>0</v>
      </c>
      <c r="L14" s="203"/>
      <c r="M14" s="256"/>
      <c r="N14" s="47"/>
      <c r="O14" s="233"/>
      <c r="P14" s="234"/>
      <c r="Q14" s="192">
        <f t="shared" si="1"/>
        <v>0</v>
      </c>
      <c r="R14" s="61">
        <f t="shared" si="2"/>
        <v>0</v>
      </c>
      <c r="S14" s="185">
        <f t="shared" si="3"/>
        <v>0</v>
      </c>
      <c r="T14" s="186">
        <f t="shared" si="5"/>
        <v>0</v>
      </c>
      <c r="U14" s="160" t="str">
        <f t="shared" ref="U14" si="7">IF(AND(H14&gt;=X14,H14&lt;=Y14),"○",IF(H14&lt;X14,"▽","△"))</f>
        <v>○</v>
      </c>
      <c r="V14" s="105">
        <f>SUM(I14,L14,M14,N14,O14,P14)</f>
        <v>0</v>
      </c>
      <c r="W14" s="89">
        <v>0</v>
      </c>
      <c r="X14" s="89">
        <v>0</v>
      </c>
      <c r="Y14" s="89">
        <v>34</v>
      </c>
      <c r="Z14" s="137"/>
      <c r="AA14"/>
      <c r="AB14"/>
      <c r="AC14"/>
    </row>
    <row r="15" spans="1:36" ht="17.25" customHeight="1" thickTop="1" x14ac:dyDescent="0.3">
      <c r="A15" s="535"/>
      <c r="B15" s="566" t="s">
        <v>13</v>
      </c>
      <c r="C15" s="567"/>
      <c r="D15" s="556" t="s">
        <v>39</v>
      </c>
      <c r="E15" s="557"/>
      <c r="F15" s="549">
        <v>272</v>
      </c>
      <c r="G15" s="549">
        <f>SUM(H15:H16)</f>
        <v>255</v>
      </c>
      <c r="H15" s="162">
        <f t="shared" si="6"/>
        <v>136</v>
      </c>
      <c r="I15" s="169">
        <v>17</v>
      </c>
      <c r="J15" s="6">
        <v>17</v>
      </c>
      <c r="K15" s="25">
        <f t="shared" si="0"/>
        <v>0</v>
      </c>
      <c r="L15" s="199">
        <v>17</v>
      </c>
      <c r="M15" s="18">
        <v>34</v>
      </c>
      <c r="N15" s="43">
        <v>34</v>
      </c>
      <c r="O15" s="225">
        <v>17</v>
      </c>
      <c r="P15" s="226">
        <v>17</v>
      </c>
      <c r="Q15" s="188">
        <f t="shared" si="1"/>
        <v>6</v>
      </c>
      <c r="R15" s="121">
        <f>SUM(I15,L15,M15,N15,O15,P15)-W15</f>
        <v>0</v>
      </c>
      <c r="S15" s="117">
        <f t="shared" si="3"/>
        <v>0</v>
      </c>
      <c r="T15" s="122">
        <f t="shared" si="5"/>
        <v>0</v>
      </c>
      <c r="U15" s="82" t="str">
        <f>IF(AND(H15-S15&gt;=X15,H15-S15&lt;=Y15),"○",IF(H15-S15&lt;X15,"▽","△"))</f>
        <v>○</v>
      </c>
      <c r="V15" s="83"/>
      <c r="W15" s="111">
        <v>136</v>
      </c>
      <c r="X15" s="111">
        <v>136</v>
      </c>
      <c r="Y15" s="111">
        <v>163</v>
      </c>
      <c r="Z15" s="138"/>
      <c r="AA15"/>
      <c r="AB15"/>
      <c r="AC15"/>
    </row>
    <row r="16" spans="1:36" ht="17.25" thickBot="1" x14ac:dyDescent="0.35">
      <c r="A16" s="535"/>
      <c r="B16" s="570"/>
      <c r="C16" s="571"/>
      <c r="D16" s="554" t="s">
        <v>32</v>
      </c>
      <c r="E16" s="555"/>
      <c r="F16" s="551"/>
      <c r="G16" s="551"/>
      <c r="H16" s="163">
        <f t="shared" si="6"/>
        <v>119</v>
      </c>
      <c r="I16" s="171">
        <v>17</v>
      </c>
      <c r="J16" s="8">
        <v>0</v>
      </c>
      <c r="K16" s="23">
        <f t="shared" si="0"/>
        <v>-17</v>
      </c>
      <c r="L16" s="201">
        <v>17</v>
      </c>
      <c r="M16" s="15">
        <v>34</v>
      </c>
      <c r="N16" s="45">
        <v>34</v>
      </c>
      <c r="O16" s="229">
        <v>17</v>
      </c>
      <c r="P16" s="230">
        <v>17</v>
      </c>
      <c r="Q16" s="190">
        <f t="shared" si="1"/>
        <v>6</v>
      </c>
      <c r="R16" s="61">
        <f>SUM(I16,L16,M16,N16,O16,P16)-W16</f>
        <v>0</v>
      </c>
      <c r="S16" s="119">
        <f t="shared" si="3"/>
        <v>-17</v>
      </c>
      <c r="T16" s="73">
        <f t="shared" si="5"/>
        <v>-17</v>
      </c>
      <c r="U16" s="110" t="str">
        <f>IF(AND(H16-S16&gt;=X16,H16-S16&lt;=Y16),"○",IF(H16-S16&lt;X16,"▽","△"))</f>
        <v>○</v>
      </c>
      <c r="V16" s="85"/>
      <c r="W16" s="113">
        <v>136</v>
      </c>
      <c r="X16" s="113">
        <v>136</v>
      </c>
      <c r="Y16" s="113">
        <v>163</v>
      </c>
      <c r="Z16" s="139"/>
      <c r="AA16"/>
      <c r="AB16"/>
      <c r="AC16"/>
    </row>
    <row r="17" spans="1:34" ht="18" thickTop="1" thickBot="1" x14ac:dyDescent="0.35">
      <c r="A17" s="535"/>
      <c r="B17" s="558" t="s">
        <v>28</v>
      </c>
      <c r="C17" s="559"/>
      <c r="D17" s="559"/>
      <c r="E17" s="560"/>
      <c r="F17" s="104">
        <v>340</v>
      </c>
      <c r="G17" s="539">
        <f>SUM(J17,L17,M17,N17,O17,P17)</f>
        <v>323</v>
      </c>
      <c r="H17" s="540"/>
      <c r="I17" s="165">
        <v>51</v>
      </c>
      <c r="J17" s="5">
        <v>34</v>
      </c>
      <c r="K17" s="24">
        <f t="shared" si="0"/>
        <v>-17</v>
      </c>
      <c r="L17" s="195">
        <v>51</v>
      </c>
      <c r="M17" s="17">
        <v>51</v>
      </c>
      <c r="N17" s="42">
        <v>51</v>
      </c>
      <c r="O17" s="224">
        <v>68</v>
      </c>
      <c r="P17" s="217">
        <v>68</v>
      </c>
      <c r="Q17" s="187">
        <f t="shared" si="1"/>
        <v>6</v>
      </c>
      <c r="R17" s="27">
        <f>SUM(I17,L17,M17,N17,O17,P17)-W17</f>
        <v>0</v>
      </c>
      <c r="S17" s="28">
        <f t="shared" si="3"/>
        <v>-17</v>
      </c>
      <c r="T17" s="71">
        <f t="shared" si="5"/>
        <v>-17</v>
      </c>
      <c r="U17" s="78" t="str">
        <f>IF(AND(G17&gt;=X17,G17&lt;=Y17),"○",IF(G17&lt;X17,"▽","△"))</f>
        <v>○</v>
      </c>
      <c r="V17" s="86"/>
      <c r="W17" s="80">
        <v>340</v>
      </c>
      <c r="X17" s="80">
        <v>272</v>
      </c>
      <c r="Y17" s="80">
        <v>408</v>
      </c>
      <c r="Z17" s="135">
        <f>TRUNC(W17*0.2,0)</f>
        <v>68</v>
      </c>
      <c r="AA17"/>
      <c r="AB17"/>
      <c r="AC17"/>
    </row>
    <row r="18" spans="1:34" ht="17.25" thickTop="1" x14ac:dyDescent="0.3">
      <c r="A18" s="535"/>
      <c r="B18" s="566" t="s">
        <v>23</v>
      </c>
      <c r="C18" s="567"/>
      <c r="D18" s="556" t="s">
        <v>35</v>
      </c>
      <c r="E18" s="557"/>
      <c r="F18" s="549">
        <v>170</v>
      </c>
      <c r="G18" s="610">
        <f>SUM(H18:H25)</f>
        <v>170</v>
      </c>
      <c r="H18" s="158">
        <f t="shared" ref="H18:H25" si="8">SUM(M18,N18,O18,P18,L18,J18)</f>
        <v>102</v>
      </c>
      <c r="I18" s="169"/>
      <c r="J18" s="6"/>
      <c r="K18" s="25">
        <f t="shared" si="0"/>
        <v>0</v>
      </c>
      <c r="L18" s="199"/>
      <c r="M18" s="18">
        <v>51</v>
      </c>
      <c r="N18" s="43">
        <v>51</v>
      </c>
      <c r="O18" s="225"/>
      <c r="P18" s="226"/>
      <c r="Q18" s="188">
        <f t="shared" si="1"/>
        <v>2</v>
      </c>
      <c r="R18" s="694">
        <f>SUM(I18:I25,L18:L25,M18:P25)-W18</f>
        <v>0</v>
      </c>
      <c r="S18" s="703">
        <f>SUM(K18:K25)</f>
        <v>0</v>
      </c>
      <c r="T18" s="706">
        <f>SUM(R18:S25)</f>
        <v>0</v>
      </c>
      <c r="U18" s="698" t="str">
        <f>IF(AND(G18&gt;=X18,G18&lt;=Y18),"○",IF(G18&lt;X18,"▽","△"))</f>
        <v>○</v>
      </c>
      <c r="V18" s="640"/>
      <c r="W18" s="637">
        <v>170</v>
      </c>
      <c r="X18" s="637">
        <v>136</v>
      </c>
      <c r="Y18" s="637">
        <v>204</v>
      </c>
      <c r="Z18" s="575">
        <f>W18*0.2</f>
        <v>34</v>
      </c>
      <c r="AA18"/>
      <c r="AB18"/>
      <c r="AC18"/>
    </row>
    <row r="19" spans="1:34" ht="16.5" customHeight="1" x14ac:dyDescent="0.3">
      <c r="A19" s="535"/>
      <c r="B19" s="568"/>
      <c r="C19" s="569"/>
      <c r="D19" s="552" t="s">
        <v>53</v>
      </c>
      <c r="E19" s="553"/>
      <c r="F19" s="550"/>
      <c r="G19" s="611"/>
      <c r="H19" s="159">
        <f t="shared" si="8"/>
        <v>0</v>
      </c>
      <c r="I19" s="170"/>
      <c r="J19" s="7"/>
      <c r="K19" s="22">
        <f t="shared" si="0"/>
        <v>0</v>
      </c>
      <c r="L19" s="200"/>
      <c r="M19" s="16"/>
      <c r="N19" s="44"/>
      <c r="O19" s="227"/>
      <c r="P19" s="228"/>
      <c r="Q19" s="189">
        <f t="shared" si="1"/>
        <v>0</v>
      </c>
      <c r="R19" s="701"/>
      <c r="S19" s="704"/>
      <c r="T19" s="707"/>
      <c r="U19" s="698"/>
      <c r="V19" s="640"/>
      <c r="W19" s="638"/>
      <c r="X19" s="638"/>
      <c r="Y19" s="638"/>
      <c r="Z19" s="576"/>
      <c r="AA19"/>
      <c r="AB19"/>
      <c r="AC19"/>
    </row>
    <row r="20" spans="1:34" x14ac:dyDescent="0.3">
      <c r="A20" s="535"/>
      <c r="B20" s="568"/>
      <c r="C20" s="569"/>
      <c r="D20" s="552" t="s">
        <v>24</v>
      </c>
      <c r="E20" s="553"/>
      <c r="F20" s="550"/>
      <c r="G20" s="611"/>
      <c r="H20" s="159">
        <f t="shared" si="8"/>
        <v>34</v>
      </c>
      <c r="I20" s="170">
        <v>17</v>
      </c>
      <c r="J20" s="7">
        <v>17</v>
      </c>
      <c r="K20" s="22">
        <f t="shared" ref="K20:K25" si="9">J20-I20</f>
        <v>0</v>
      </c>
      <c r="L20" s="200">
        <v>17</v>
      </c>
      <c r="M20" s="16"/>
      <c r="N20" s="44"/>
      <c r="O20" s="227"/>
      <c r="P20" s="228"/>
      <c r="Q20" s="189">
        <f t="shared" si="1"/>
        <v>2</v>
      </c>
      <c r="R20" s="701"/>
      <c r="S20" s="704"/>
      <c r="T20" s="707"/>
      <c r="U20" s="698"/>
      <c r="V20" s="640"/>
      <c r="W20" s="638"/>
      <c r="X20" s="638"/>
      <c r="Y20" s="638"/>
      <c r="Z20" s="576"/>
      <c r="AA20"/>
      <c r="AB20"/>
      <c r="AC20"/>
    </row>
    <row r="21" spans="1:34" ht="16.5" customHeight="1" x14ac:dyDescent="0.3">
      <c r="A21" s="535"/>
      <c r="B21" s="568"/>
      <c r="C21" s="569"/>
      <c r="D21" s="552" t="s">
        <v>51</v>
      </c>
      <c r="E21" s="553"/>
      <c r="F21" s="550"/>
      <c r="G21" s="611"/>
      <c r="H21" s="159">
        <f t="shared" si="8"/>
        <v>34</v>
      </c>
      <c r="I21" s="174">
        <v>17</v>
      </c>
      <c r="J21" s="9">
        <v>17</v>
      </c>
      <c r="K21" s="22">
        <f t="shared" si="9"/>
        <v>0</v>
      </c>
      <c r="L21" s="204">
        <v>17</v>
      </c>
      <c r="M21" s="10"/>
      <c r="N21" s="48"/>
      <c r="O21" s="235"/>
      <c r="P21" s="236"/>
      <c r="Q21" s="189">
        <f t="shared" si="1"/>
        <v>2</v>
      </c>
      <c r="R21" s="701"/>
      <c r="S21" s="704"/>
      <c r="T21" s="707"/>
      <c r="U21" s="698"/>
      <c r="V21" s="640"/>
      <c r="W21" s="638"/>
      <c r="X21" s="638"/>
      <c r="Y21" s="638"/>
      <c r="Z21" s="576"/>
      <c r="AA21"/>
      <c r="AB21"/>
      <c r="AC21"/>
    </row>
    <row r="22" spans="1:34" x14ac:dyDescent="0.3">
      <c r="A22" s="535"/>
      <c r="B22" s="568"/>
      <c r="C22" s="569"/>
      <c r="D22" s="552" t="s">
        <v>41</v>
      </c>
      <c r="E22" s="553"/>
      <c r="F22" s="550"/>
      <c r="G22" s="611"/>
      <c r="H22" s="159">
        <f t="shared" si="8"/>
        <v>0</v>
      </c>
      <c r="I22" s="170"/>
      <c r="J22" s="7"/>
      <c r="K22" s="22">
        <f t="shared" si="9"/>
        <v>0</v>
      </c>
      <c r="L22" s="200"/>
      <c r="M22" s="16"/>
      <c r="N22" s="44"/>
      <c r="O22" s="227"/>
      <c r="P22" s="228"/>
      <c r="Q22" s="189">
        <f t="shared" si="1"/>
        <v>0</v>
      </c>
      <c r="R22" s="701"/>
      <c r="S22" s="704"/>
      <c r="T22" s="707"/>
      <c r="U22" s="698"/>
      <c r="V22" s="640"/>
      <c r="W22" s="638"/>
      <c r="X22" s="638"/>
      <c r="Y22" s="638"/>
      <c r="Z22" s="576"/>
      <c r="AA22"/>
      <c r="AB22"/>
      <c r="AC22"/>
    </row>
    <row r="23" spans="1:34" ht="16.5" customHeight="1" x14ac:dyDescent="0.3">
      <c r="A23" s="535"/>
      <c r="B23" s="568"/>
      <c r="C23" s="569"/>
      <c r="D23" s="615"/>
      <c r="E23" s="616"/>
      <c r="F23" s="550"/>
      <c r="G23" s="611"/>
      <c r="H23" s="159">
        <f t="shared" si="8"/>
        <v>0</v>
      </c>
      <c r="I23" s="174"/>
      <c r="J23" s="9"/>
      <c r="K23" s="22">
        <f t="shared" si="9"/>
        <v>0</v>
      </c>
      <c r="L23" s="204"/>
      <c r="M23" s="10"/>
      <c r="N23" s="48"/>
      <c r="O23" s="235"/>
      <c r="P23" s="236"/>
      <c r="Q23" s="189">
        <f t="shared" si="1"/>
        <v>0</v>
      </c>
      <c r="R23" s="702"/>
      <c r="S23" s="704"/>
      <c r="T23" s="708"/>
      <c r="U23" s="698"/>
      <c r="V23" s="640"/>
      <c r="W23" s="639"/>
      <c r="X23" s="639"/>
      <c r="Y23" s="639"/>
      <c r="Z23" s="577"/>
      <c r="AA23" s="572"/>
      <c r="AB23" s="572"/>
      <c r="AC23" s="572"/>
      <c r="AD23" s="572"/>
      <c r="AE23" s="572"/>
      <c r="AF23" s="572"/>
      <c r="AG23" s="572"/>
      <c r="AH23" s="572"/>
    </row>
    <row r="24" spans="1:34" ht="16.5" customHeight="1" x14ac:dyDescent="0.3">
      <c r="A24" s="535"/>
      <c r="B24" s="568"/>
      <c r="C24" s="569"/>
      <c r="D24" s="615"/>
      <c r="E24" s="616"/>
      <c r="F24" s="550"/>
      <c r="G24" s="611"/>
      <c r="H24" s="159">
        <f t="shared" si="8"/>
        <v>0</v>
      </c>
      <c r="I24" s="174"/>
      <c r="J24" s="9"/>
      <c r="K24" s="22">
        <f t="shared" si="9"/>
        <v>0</v>
      </c>
      <c r="L24" s="204"/>
      <c r="M24" s="10"/>
      <c r="N24" s="48"/>
      <c r="O24" s="235"/>
      <c r="P24" s="236"/>
      <c r="Q24" s="189">
        <f t="shared" si="1"/>
        <v>0</v>
      </c>
      <c r="R24" s="702"/>
      <c r="S24" s="704"/>
      <c r="T24" s="708"/>
      <c r="U24" s="698"/>
      <c r="V24" s="640"/>
      <c r="W24" s="639"/>
      <c r="X24" s="639"/>
      <c r="Y24" s="639"/>
      <c r="Z24" s="577"/>
      <c r="AA24" s="572"/>
      <c r="AB24" s="572"/>
      <c r="AC24" s="572"/>
      <c r="AD24" s="572"/>
      <c r="AE24" s="572"/>
      <c r="AF24" s="572"/>
      <c r="AG24" s="572"/>
      <c r="AH24" s="572"/>
    </row>
    <row r="25" spans="1:34" ht="18" customHeight="1" thickBot="1" x14ac:dyDescent="0.35">
      <c r="A25" s="535"/>
      <c r="B25" s="570"/>
      <c r="C25" s="571"/>
      <c r="D25" s="613"/>
      <c r="E25" s="614"/>
      <c r="F25" s="551"/>
      <c r="G25" s="612"/>
      <c r="H25" s="156">
        <f t="shared" si="8"/>
        <v>0</v>
      </c>
      <c r="I25" s="171"/>
      <c r="J25" s="8"/>
      <c r="K25" s="23">
        <f t="shared" si="9"/>
        <v>0</v>
      </c>
      <c r="L25" s="201"/>
      <c r="M25" s="15"/>
      <c r="N25" s="45"/>
      <c r="O25" s="229"/>
      <c r="P25" s="230"/>
      <c r="Q25" s="190">
        <f t="shared" si="1"/>
        <v>0</v>
      </c>
      <c r="R25" s="702"/>
      <c r="S25" s="705"/>
      <c r="T25" s="708"/>
      <c r="U25" s="698"/>
      <c r="V25" s="640"/>
      <c r="W25" s="639"/>
      <c r="X25" s="639"/>
      <c r="Y25" s="639"/>
      <c r="Z25" s="577"/>
      <c r="AA25" s="572"/>
      <c r="AB25" s="572"/>
      <c r="AC25" s="572"/>
      <c r="AD25" s="572"/>
      <c r="AE25" s="572"/>
      <c r="AF25" s="572"/>
      <c r="AG25" s="572"/>
      <c r="AH25" s="572"/>
    </row>
    <row r="26" spans="1:34" ht="21.75" customHeight="1" thickTop="1" thickBot="1" x14ac:dyDescent="0.35">
      <c r="A26" s="536"/>
      <c r="B26" s="657" t="s">
        <v>9</v>
      </c>
      <c r="C26" s="658"/>
      <c r="D26" s="658"/>
      <c r="E26" s="658"/>
      <c r="F26" s="35">
        <f>SUM(F5:F25)</f>
        <v>3060</v>
      </c>
      <c r="G26" s="699">
        <f>SUM(G5,G6,G9,G10,G13,G15,G17,G18)</f>
        <v>2873</v>
      </c>
      <c r="H26" s="700"/>
      <c r="I26" s="161">
        <f>SUM(I5:I25)</f>
        <v>493</v>
      </c>
      <c r="J26" s="14">
        <f>SUM(J5:J25)</f>
        <v>374</v>
      </c>
      <c r="K26" s="56">
        <f t="shared" ref="K26" si="10">SUM(K5:K25)</f>
        <v>-119</v>
      </c>
      <c r="L26" s="205">
        <f t="shared" ref="L26:P26" si="11">SUM(L5:L25)</f>
        <v>493</v>
      </c>
      <c r="M26" s="120">
        <f t="shared" si="11"/>
        <v>493</v>
      </c>
      <c r="N26" s="49">
        <f t="shared" si="11"/>
        <v>493</v>
      </c>
      <c r="O26" s="237">
        <f t="shared" si="11"/>
        <v>510</v>
      </c>
      <c r="P26" s="238">
        <f t="shared" si="11"/>
        <v>510</v>
      </c>
      <c r="Q26" s="619"/>
      <c r="R26" s="62">
        <f>SUM(R5:R25)</f>
        <v>-68</v>
      </c>
      <c r="S26" s="63">
        <f>SUM(S5:S25)</f>
        <v>-119</v>
      </c>
      <c r="T26" s="64">
        <f>SUM(T5:T25)</f>
        <v>-187</v>
      </c>
      <c r="U26" s="90"/>
      <c r="V26" s="91"/>
      <c r="W26" s="4"/>
      <c r="X26" s="92"/>
      <c r="Y26" s="92"/>
      <c r="Z26" s="140"/>
      <c r="AA26"/>
      <c r="AB26"/>
      <c r="AC26"/>
    </row>
    <row r="27" spans="1:34" ht="18" customHeight="1" thickTop="1" thickBot="1" x14ac:dyDescent="0.35">
      <c r="A27" s="534" t="s">
        <v>16</v>
      </c>
      <c r="B27" s="651" t="s">
        <v>59</v>
      </c>
      <c r="C27" s="652"/>
      <c r="D27" s="652"/>
      <c r="E27" s="653"/>
      <c r="F27" s="654" t="s">
        <v>12</v>
      </c>
      <c r="G27" s="537">
        <f>SUM(J27,L27,M27,N27,O27,P27)</f>
        <v>109</v>
      </c>
      <c r="H27" s="538"/>
      <c r="I27" s="175">
        <v>11</v>
      </c>
      <c r="J27" s="30">
        <v>11</v>
      </c>
      <c r="K27" s="31">
        <f t="shared" ref="K27:K33" si="12">J27-I27</f>
        <v>0</v>
      </c>
      <c r="L27" s="206">
        <v>26</v>
      </c>
      <c r="M27" s="29">
        <v>19</v>
      </c>
      <c r="N27" s="50">
        <v>17</v>
      </c>
      <c r="O27" s="239">
        <v>19</v>
      </c>
      <c r="P27" s="240">
        <v>17</v>
      </c>
      <c r="Q27" s="620"/>
      <c r="R27" s="693">
        <f>SUM(I27:I30,L27:L30,M27:M30,N27:N30,O27:O30,P27:P30)-306</f>
        <v>-68</v>
      </c>
      <c r="S27" s="704">
        <f>SUM(K27:K30)</f>
        <v>-34</v>
      </c>
      <c r="T27" s="742">
        <f>SUM(R27:S30)</f>
        <v>-102</v>
      </c>
      <c r="U27" s="93"/>
      <c r="V27" s="94"/>
      <c r="W27" s="617">
        <v>306</v>
      </c>
      <c r="X27" s="748" t="s">
        <v>75</v>
      </c>
      <c r="Y27" s="749"/>
      <c r="Z27" s="750"/>
      <c r="AA27"/>
      <c r="AB27"/>
      <c r="AC27"/>
    </row>
    <row r="28" spans="1:34" ht="18" customHeight="1" thickTop="1" thickBot="1" x14ac:dyDescent="0.35">
      <c r="A28" s="535"/>
      <c r="B28" s="558" t="s">
        <v>47</v>
      </c>
      <c r="C28" s="559"/>
      <c r="D28" s="559"/>
      <c r="E28" s="560"/>
      <c r="F28" s="655"/>
      <c r="G28" s="539">
        <f t="shared" ref="G28:G29" si="13">SUM(J28,L28,M28,N28,O28,P28)</f>
        <v>30</v>
      </c>
      <c r="H28" s="540"/>
      <c r="I28" s="165">
        <v>4</v>
      </c>
      <c r="J28" s="5">
        <v>4</v>
      </c>
      <c r="K28" s="24">
        <f t="shared" si="12"/>
        <v>0</v>
      </c>
      <c r="L28" s="195">
        <v>6</v>
      </c>
      <c r="M28" s="17">
        <v>4</v>
      </c>
      <c r="N28" s="42">
        <v>6</v>
      </c>
      <c r="O28" s="224">
        <v>4</v>
      </c>
      <c r="P28" s="217">
        <v>6</v>
      </c>
      <c r="Q28" s="620"/>
      <c r="R28" s="693"/>
      <c r="S28" s="704"/>
      <c r="T28" s="742"/>
      <c r="U28" s="95"/>
      <c r="V28" s="96"/>
      <c r="W28" s="618"/>
      <c r="X28" s="751"/>
      <c r="Y28" s="752"/>
      <c r="Z28" s="753"/>
    </row>
    <row r="29" spans="1:34" ht="18" customHeight="1" thickTop="1" thickBot="1" x14ac:dyDescent="0.35">
      <c r="A29" s="535"/>
      <c r="B29" s="659" t="s">
        <v>49</v>
      </c>
      <c r="C29" s="660"/>
      <c r="D29" s="660"/>
      <c r="E29" s="661"/>
      <c r="F29" s="655"/>
      <c r="G29" s="539">
        <f t="shared" si="13"/>
        <v>14</v>
      </c>
      <c r="H29" s="540"/>
      <c r="I29" s="176">
        <v>19</v>
      </c>
      <c r="J29" s="33">
        <v>2</v>
      </c>
      <c r="K29" s="34">
        <f t="shared" si="12"/>
        <v>-17</v>
      </c>
      <c r="L29" s="207">
        <v>2</v>
      </c>
      <c r="M29" s="32">
        <v>3</v>
      </c>
      <c r="N29" s="51">
        <v>2</v>
      </c>
      <c r="O29" s="241">
        <v>3</v>
      </c>
      <c r="P29" s="242">
        <v>2</v>
      </c>
      <c r="Q29" s="620"/>
      <c r="R29" s="693"/>
      <c r="S29" s="704"/>
      <c r="T29" s="742"/>
      <c r="U29" s="97"/>
      <c r="V29" s="98"/>
      <c r="W29" s="618"/>
      <c r="X29" s="754"/>
      <c r="Y29" s="755"/>
      <c r="Z29" s="756"/>
    </row>
    <row r="30" spans="1:34" ht="17.25" customHeight="1" thickTop="1" x14ac:dyDescent="0.3">
      <c r="A30" s="535"/>
      <c r="B30" s="662" t="s">
        <v>22</v>
      </c>
      <c r="C30" s="665" t="s">
        <v>58</v>
      </c>
      <c r="D30" s="666"/>
      <c r="E30" s="667"/>
      <c r="F30" s="655"/>
      <c r="G30" s="766">
        <f>SUM(J30,L30,M30,N30,O30,P30)</f>
        <v>51</v>
      </c>
      <c r="H30" s="767"/>
      <c r="I30" s="170">
        <v>17</v>
      </c>
      <c r="J30" s="7">
        <v>0</v>
      </c>
      <c r="K30" s="22">
        <f t="shared" si="12"/>
        <v>-17</v>
      </c>
      <c r="L30" s="200">
        <v>17</v>
      </c>
      <c r="M30" s="16">
        <v>8</v>
      </c>
      <c r="N30" s="44">
        <v>9</v>
      </c>
      <c r="O30" s="227">
        <v>8</v>
      </c>
      <c r="P30" s="228">
        <v>9</v>
      </c>
      <c r="Q30" s="620"/>
      <c r="R30" s="694"/>
      <c r="S30" s="717"/>
      <c r="T30" s="743"/>
      <c r="U30" s="95"/>
      <c r="V30" s="96"/>
      <c r="W30" s="618"/>
      <c r="X30" s="151" t="s">
        <v>33</v>
      </c>
      <c r="Y30" s="152" t="s">
        <v>43</v>
      </c>
      <c r="Z30" s="257" t="s">
        <v>30</v>
      </c>
      <c r="AA30"/>
      <c r="AB30"/>
      <c r="AC30"/>
    </row>
    <row r="31" spans="1:34" ht="16.5" customHeight="1" thickBot="1" x14ac:dyDescent="0.35">
      <c r="A31" s="535"/>
      <c r="B31" s="663"/>
      <c r="C31" s="668" t="s">
        <v>14</v>
      </c>
      <c r="D31" s="669"/>
      <c r="E31" s="20" t="s">
        <v>56</v>
      </c>
      <c r="F31" s="655"/>
      <c r="G31" s="550">
        <f>SUM(H31:H33)</f>
        <v>119</v>
      </c>
      <c r="H31" s="164">
        <f>SUM(M31,N31,O31,P31,L31,J31)</f>
        <v>68</v>
      </c>
      <c r="I31" s="177"/>
      <c r="J31" s="66"/>
      <c r="K31" s="22">
        <f t="shared" si="12"/>
        <v>0</v>
      </c>
      <c r="L31" s="208"/>
      <c r="M31" s="65">
        <v>17</v>
      </c>
      <c r="N31" s="67">
        <v>17</v>
      </c>
      <c r="O31" s="243">
        <v>17</v>
      </c>
      <c r="P31" s="244">
        <v>17</v>
      </c>
      <c r="Q31" s="620"/>
      <c r="R31" s="115">
        <f>SUM(I31,L31,M31,N31,O31,P31)</f>
        <v>68</v>
      </c>
      <c r="S31" s="118">
        <f t="shared" ref="S31:S41" si="14">K31</f>
        <v>0</v>
      </c>
      <c r="T31" s="73">
        <f t="shared" ref="T31:T33" si="15">SUM(R31:S31)</f>
        <v>68</v>
      </c>
      <c r="U31" s="740" t="str">
        <f>IF(AND(SUM(I31:I33,L31:L33,M31:M33,N31:N33,O31:O33,P31:P33,H14)=136),"○",IF(SUM(I31:I33,L31:L33,M31:M33,N31:N33,O31:O33,P31:P33,H14)&lt;136,"▽","△"))</f>
        <v>○</v>
      </c>
      <c r="V31" s="689">
        <f>SUM(I31:I33,L31:L33,M31:M33,N31:N33,O31:O33,P31:P33)-136</f>
        <v>0</v>
      </c>
      <c r="W31" s="618"/>
      <c r="X31" s="142">
        <f>SUM(L30,J30,J38)</f>
        <v>34</v>
      </c>
      <c r="Y31" s="143">
        <f>SUM(M30:N30)</f>
        <v>17</v>
      </c>
      <c r="Z31" s="258">
        <f>SUM(O30:P30)</f>
        <v>17</v>
      </c>
      <c r="AA31" s="572"/>
      <c r="AB31" s="572"/>
      <c r="AC31" s="572"/>
      <c r="AD31" s="572"/>
      <c r="AE31" s="572"/>
      <c r="AF31" s="572"/>
      <c r="AG31" s="572"/>
      <c r="AH31" s="572"/>
    </row>
    <row r="32" spans="1:34" ht="16.5" customHeight="1" thickTop="1" x14ac:dyDescent="0.3">
      <c r="A32" s="535"/>
      <c r="B32" s="663"/>
      <c r="C32" s="568"/>
      <c r="D32" s="569"/>
      <c r="E32" s="20" t="s">
        <v>31</v>
      </c>
      <c r="F32" s="655"/>
      <c r="G32" s="550"/>
      <c r="H32" s="164">
        <f>SUM(M32,N32,O32,P32,L32,J32)</f>
        <v>0</v>
      </c>
      <c r="I32" s="177"/>
      <c r="J32" s="66"/>
      <c r="K32" s="22">
        <f t="shared" si="12"/>
        <v>0</v>
      </c>
      <c r="L32" s="208"/>
      <c r="M32" s="65"/>
      <c r="N32" s="67"/>
      <c r="O32" s="243"/>
      <c r="P32" s="244"/>
      <c r="Q32" s="620"/>
      <c r="R32" s="115">
        <f>SUM(I32,L32,M32,N32,O32,P32)</f>
        <v>0</v>
      </c>
      <c r="S32" s="118">
        <f t="shared" si="14"/>
        <v>0</v>
      </c>
      <c r="T32" s="73">
        <f t="shared" si="15"/>
        <v>0</v>
      </c>
      <c r="U32" s="740"/>
      <c r="V32" s="689"/>
      <c r="W32" s="618"/>
      <c r="X32" s="757" t="s">
        <v>76</v>
      </c>
      <c r="Y32" s="758"/>
      <c r="Z32" s="761">
        <f>SUM(I31:I33,L31:L33,M31:M33,N31:N33,O31:O33,P31:P33,I14,L14,M14,N14,O14,P14)</f>
        <v>136</v>
      </c>
      <c r="AA32" s="572"/>
      <c r="AB32" s="572"/>
      <c r="AC32" s="572"/>
      <c r="AD32" s="572"/>
      <c r="AE32" s="572"/>
      <c r="AF32" s="572"/>
      <c r="AG32" s="572"/>
      <c r="AH32" s="572"/>
    </row>
    <row r="33" spans="1:34" ht="17.25" thickBot="1" x14ac:dyDescent="0.35">
      <c r="A33" s="535"/>
      <c r="B33" s="664"/>
      <c r="C33" s="670"/>
      <c r="D33" s="671"/>
      <c r="E33" s="21" t="s">
        <v>46</v>
      </c>
      <c r="F33" s="656"/>
      <c r="G33" s="765"/>
      <c r="H33" s="164">
        <f>SUM(M33,N33,O33,P33,L33,J33)</f>
        <v>51</v>
      </c>
      <c r="I33" s="177">
        <v>17</v>
      </c>
      <c r="J33" s="66">
        <v>0</v>
      </c>
      <c r="K33" s="22">
        <f t="shared" si="12"/>
        <v>-17</v>
      </c>
      <c r="L33" s="208">
        <v>17</v>
      </c>
      <c r="M33" s="65">
        <v>17</v>
      </c>
      <c r="N33" s="67">
        <v>17</v>
      </c>
      <c r="O33" s="243"/>
      <c r="P33" s="244"/>
      <c r="Q33" s="620"/>
      <c r="R33" s="116">
        <f>SUM(I33,L33,M33,N33,O33,P33)</f>
        <v>68</v>
      </c>
      <c r="S33" s="119">
        <f t="shared" si="14"/>
        <v>-17</v>
      </c>
      <c r="T33" s="73">
        <f t="shared" si="15"/>
        <v>51</v>
      </c>
      <c r="U33" s="741"/>
      <c r="V33" s="690"/>
      <c r="W33" s="618"/>
      <c r="X33" s="759"/>
      <c r="Y33" s="760"/>
      <c r="Z33" s="762"/>
      <c r="AA33"/>
      <c r="AB33"/>
      <c r="AC33"/>
    </row>
    <row r="34" spans="1:34" ht="17.25" customHeight="1" thickTop="1" thickBot="1" x14ac:dyDescent="0.35">
      <c r="A34" s="535"/>
      <c r="B34" s="672" t="s">
        <v>6</v>
      </c>
      <c r="C34" s="673"/>
      <c r="D34" s="673"/>
      <c r="E34" s="674"/>
      <c r="F34" s="678" t="s">
        <v>12</v>
      </c>
      <c r="G34" s="685">
        <f>SUM(G27:H30,G31)</f>
        <v>323</v>
      </c>
      <c r="H34" s="686"/>
      <c r="I34" s="763">
        <f>I27+I30+I31+I32+I33+I28+I29</f>
        <v>68</v>
      </c>
      <c r="J34" s="541">
        <f>J27+J30+J31+J32+J33+J28+J29</f>
        <v>17</v>
      </c>
      <c r="K34" s="641">
        <f>K27+K30+K31+K32+K33+K28+K29</f>
        <v>-51</v>
      </c>
      <c r="L34" s="643">
        <f>L27+L30+L31+L32+L33+L28+L29</f>
        <v>68</v>
      </c>
      <c r="M34" s="715">
        <f t="shared" ref="M34:P34" si="16">M27+M30+M31+M32+M33+M28+M29</f>
        <v>68</v>
      </c>
      <c r="N34" s="691">
        <f t="shared" si="16"/>
        <v>68</v>
      </c>
      <c r="O34" s="695">
        <f t="shared" si="16"/>
        <v>51</v>
      </c>
      <c r="P34" s="696">
        <f t="shared" si="16"/>
        <v>51</v>
      </c>
      <c r="Q34" s="620"/>
      <c r="R34" s="713">
        <f>SUM(R27:R33)</f>
        <v>68</v>
      </c>
      <c r="S34" s="711">
        <f t="shared" si="14"/>
        <v>-51</v>
      </c>
      <c r="T34" s="709">
        <f>SUM(T27:T33)</f>
        <v>17</v>
      </c>
      <c r="U34" s="745" t="s">
        <v>20</v>
      </c>
      <c r="V34" s="746"/>
      <c r="W34" s="746"/>
      <c r="X34" s="746"/>
      <c r="Y34" s="747"/>
      <c r="Z34" s="259">
        <f>SUM(I27:I30,L27:L30,M27:M30,N27:N30,O27:O30,P27:P30)</f>
        <v>238</v>
      </c>
      <c r="AA34" s="572"/>
      <c r="AB34" s="572"/>
      <c r="AC34" s="572"/>
      <c r="AD34" s="572"/>
      <c r="AE34" s="572"/>
      <c r="AF34" s="572"/>
      <c r="AG34" s="572"/>
      <c r="AH34" s="572"/>
    </row>
    <row r="35" spans="1:34" ht="19.5" customHeight="1" thickTop="1" thickBot="1" x14ac:dyDescent="0.35">
      <c r="A35" s="536"/>
      <c r="B35" s="675"/>
      <c r="C35" s="676"/>
      <c r="D35" s="676"/>
      <c r="E35" s="677"/>
      <c r="F35" s="679"/>
      <c r="G35" s="687"/>
      <c r="H35" s="688"/>
      <c r="I35" s="764"/>
      <c r="J35" s="542"/>
      <c r="K35" s="642"/>
      <c r="L35" s="644"/>
      <c r="M35" s="716"/>
      <c r="N35" s="692"/>
      <c r="O35" s="695"/>
      <c r="P35" s="697"/>
      <c r="Q35" s="620"/>
      <c r="R35" s="714"/>
      <c r="S35" s="712"/>
      <c r="T35" s="710"/>
      <c r="U35" s="144" t="s">
        <v>33</v>
      </c>
      <c r="V35" s="145">
        <f>-K34</f>
        <v>51</v>
      </c>
      <c r="W35" s="682" t="s">
        <v>78</v>
      </c>
      <c r="X35" s="683"/>
      <c r="Y35" s="683"/>
      <c r="Z35" s="684"/>
      <c r="AA35" s="572"/>
      <c r="AB35" s="572"/>
      <c r="AC35" s="572"/>
      <c r="AD35" s="572"/>
      <c r="AE35" s="572"/>
      <c r="AF35" s="572"/>
      <c r="AG35" s="572"/>
    </row>
    <row r="36" spans="1:34" ht="16.5" customHeight="1" x14ac:dyDescent="0.3">
      <c r="A36" s="534" t="s">
        <v>54</v>
      </c>
      <c r="B36" s="680" t="s">
        <v>61</v>
      </c>
      <c r="C36" s="681"/>
      <c r="D36" s="681"/>
      <c r="E36" s="681"/>
      <c r="F36" s="646">
        <v>170</v>
      </c>
      <c r="G36" s="647">
        <f>J36</f>
        <v>34</v>
      </c>
      <c r="H36" s="648"/>
      <c r="I36" s="178"/>
      <c r="J36" s="11">
        <v>34</v>
      </c>
      <c r="K36" s="57">
        <f>J36-I36</f>
        <v>34</v>
      </c>
      <c r="L36" s="209"/>
      <c r="M36" s="128"/>
      <c r="N36" s="129"/>
      <c r="O36" s="245"/>
      <c r="P36" s="246"/>
      <c r="Q36" s="620"/>
      <c r="R36" s="115">
        <f>SUM(I36,L36,M36,N36,O36,P36)</f>
        <v>0</v>
      </c>
      <c r="S36" s="118">
        <f t="shared" si="14"/>
        <v>34</v>
      </c>
      <c r="T36" s="73">
        <f t="shared" ref="T36:T39" si="17">SUM(R36:S36)</f>
        <v>34</v>
      </c>
      <c r="U36" s="625" t="s">
        <v>82</v>
      </c>
      <c r="V36" s="626"/>
      <c r="W36" s="626"/>
      <c r="X36" s="626"/>
      <c r="Y36" s="626"/>
      <c r="Z36" s="627"/>
      <c r="AA36" s="106"/>
      <c r="AB36" s="106"/>
      <c r="AC36" s="106"/>
      <c r="AD36" s="106"/>
      <c r="AE36" s="106"/>
      <c r="AF36" s="106"/>
      <c r="AG36" s="106"/>
    </row>
    <row r="37" spans="1:34" ht="16.5" customHeight="1" x14ac:dyDescent="0.3">
      <c r="A37" s="535"/>
      <c r="B37" s="552" t="s">
        <v>63</v>
      </c>
      <c r="C37" s="565"/>
      <c r="D37" s="565"/>
      <c r="E37" s="565"/>
      <c r="F37" s="550"/>
      <c r="G37" s="649">
        <f t="shared" ref="G37:G39" si="18">J37</f>
        <v>68</v>
      </c>
      <c r="H37" s="650"/>
      <c r="I37" s="179"/>
      <c r="J37" s="7">
        <v>68</v>
      </c>
      <c r="K37" s="22">
        <f>J37-I37</f>
        <v>68</v>
      </c>
      <c r="L37" s="210"/>
      <c r="M37" s="130"/>
      <c r="N37" s="131"/>
      <c r="O37" s="247"/>
      <c r="P37" s="248"/>
      <c r="Q37" s="620"/>
      <c r="R37" s="115">
        <f>SUM(I37,L37,M37,N37,O37,P37)</f>
        <v>0</v>
      </c>
      <c r="S37" s="118">
        <f t="shared" si="14"/>
        <v>68</v>
      </c>
      <c r="T37" s="73">
        <f t="shared" si="17"/>
        <v>68</v>
      </c>
      <c r="U37" s="625" t="s">
        <v>83</v>
      </c>
      <c r="V37" s="626"/>
      <c r="W37" s="626"/>
      <c r="X37" s="626"/>
      <c r="Y37" s="626"/>
      <c r="Z37" s="627"/>
      <c r="AA37"/>
      <c r="AB37"/>
      <c r="AC37"/>
    </row>
    <row r="38" spans="1:34" ht="16.5" customHeight="1" x14ac:dyDescent="0.3">
      <c r="A38" s="535"/>
      <c r="B38" s="552" t="s">
        <v>79</v>
      </c>
      <c r="C38" s="565"/>
      <c r="D38" s="565"/>
      <c r="E38" s="565"/>
      <c r="F38" s="550"/>
      <c r="G38" s="649">
        <f t="shared" si="18"/>
        <v>17</v>
      </c>
      <c r="H38" s="650"/>
      <c r="I38" s="179"/>
      <c r="J38" s="7">
        <v>17</v>
      </c>
      <c r="K38" s="22">
        <f t="shared" ref="K38:K39" si="19">J38-I38</f>
        <v>17</v>
      </c>
      <c r="L38" s="210"/>
      <c r="M38" s="130"/>
      <c r="N38" s="131"/>
      <c r="O38" s="247"/>
      <c r="P38" s="248"/>
      <c r="Q38" s="620"/>
      <c r="R38" s="115">
        <f>SUM(I38,L38,M38,N38,O38,P38)</f>
        <v>0</v>
      </c>
      <c r="S38" s="118">
        <f t="shared" si="14"/>
        <v>17</v>
      </c>
      <c r="T38" s="73">
        <f t="shared" si="17"/>
        <v>17</v>
      </c>
      <c r="U38" s="628" t="s">
        <v>84</v>
      </c>
      <c r="V38" s="629"/>
      <c r="W38" s="629"/>
      <c r="X38" s="629"/>
      <c r="Y38" s="629"/>
      <c r="Z38" s="630"/>
      <c r="AA38"/>
      <c r="AB38"/>
      <c r="AC38"/>
    </row>
    <row r="39" spans="1:34" ht="17.25" customHeight="1" thickBot="1" x14ac:dyDescent="0.35">
      <c r="A39" s="535"/>
      <c r="B39" s="554" t="s">
        <v>45</v>
      </c>
      <c r="C39" s="645"/>
      <c r="D39" s="645"/>
      <c r="E39" s="645"/>
      <c r="F39" s="551"/>
      <c r="G39" s="623">
        <f t="shared" si="18"/>
        <v>51</v>
      </c>
      <c r="H39" s="624"/>
      <c r="I39" s="180"/>
      <c r="J39" s="8">
        <v>51</v>
      </c>
      <c r="K39" s="22">
        <f t="shared" si="19"/>
        <v>51</v>
      </c>
      <c r="L39" s="211"/>
      <c r="M39" s="132"/>
      <c r="N39" s="133"/>
      <c r="O39" s="249"/>
      <c r="P39" s="250"/>
      <c r="Q39" s="620"/>
      <c r="R39" s="116">
        <f>SUM(I39,L39,M39,N39,O39,P39)</f>
        <v>0</v>
      </c>
      <c r="S39" s="119">
        <f t="shared" si="14"/>
        <v>51</v>
      </c>
      <c r="T39" s="73">
        <f t="shared" si="17"/>
        <v>51</v>
      </c>
      <c r="U39" s="631" t="s">
        <v>85</v>
      </c>
      <c r="V39" s="632"/>
      <c r="W39" s="632"/>
      <c r="X39" s="632"/>
      <c r="Y39" s="632"/>
      <c r="Z39" s="633"/>
    </row>
    <row r="40" spans="1:34" ht="27" customHeight="1" thickTop="1" thickBot="1" x14ac:dyDescent="0.35">
      <c r="A40" s="536"/>
      <c r="B40" s="657" t="s">
        <v>4</v>
      </c>
      <c r="C40" s="658"/>
      <c r="D40" s="658"/>
      <c r="E40" s="739"/>
      <c r="F40" s="14"/>
      <c r="G40" s="657">
        <f>SUM(G36:H39)</f>
        <v>170</v>
      </c>
      <c r="H40" s="658"/>
      <c r="I40" s="161"/>
      <c r="J40" s="14">
        <f>J36+J37+J38+J39</f>
        <v>170</v>
      </c>
      <c r="K40" s="26">
        <f>SUM(K36:K39)</f>
        <v>170</v>
      </c>
      <c r="L40" s="205"/>
      <c r="M40" s="120"/>
      <c r="N40" s="49"/>
      <c r="O40" s="237"/>
      <c r="P40" s="238"/>
      <c r="Q40" s="620"/>
      <c r="R40" s="123">
        <f>SUM(R36:R39)</f>
        <v>0</v>
      </c>
      <c r="S40" s="124">
        <f t="shared" si="14"/>
        <v>170</v>
      </c>
      <c r="T40" s="146">
        <f t="shared" ref="T40" si="20">SUM(T36:T39)</f>
        <v>170</v>
      </c>
      <c r="U40" s="144" t="s">
        <v>33</v>
      </c>
      <c r="V40" s="150">
        <f>SUM(K36:K39)</f>
        <v>170</v>
      </c>
      <c r="W40" s="682" t="s">
        <v>71</v>
      </c>
      <c r="X40" s="683"/>
      <c r="Y40" s="683"/>
      <c r="Z40" s="684"/>
      <c r="AA40" s="572"/>
      <c r="AB40" s="572"/>
      <c r="AC40" s="572"/>
      <c r="AD40" s="572"/>
      <c r="AE40" s="572"/>
    </row>
    <row r="41" spans="1:34" ht="36" customHeight="1" thickBot="1" x14ac:dyDescent="0.35">
      <c r="A41" s="736" t="s">
        <v>11</v>
      </c>
      <c r="B41" s="737"/>
      <c r="C41" s="737"/>
      <c r="D41" s="737"/>
      <c r="E41" s="738"/>
      <c r="F41" s="107" t="s">
        <v>77</v>
      </c>
      <c r="G41" s="635">
        <f>SUM(G26,G34,G40)</f>
        <v>3366</v>
      </c>
      <c r="H41" s="636"/>
      <c r="I41" s="157">
        <f>I26+I34</f>
        <v>561</v>
      </c>
      <c r="J41" s="99">
        <f>J26+J34+J40</f>
        <v>561</v>
      </c>
      <c r="K41" s="153">
        <f>K26+K34+K40</f>
        <v>0</v>
      </c>
      <c r="L41" s="212">
        <f>L26+L34+L40</f>
        <v>561</v>
      </c>
      <c r="M41" s="260">
        <f>M26+M34</f>
        <v>561</v>
      </c>
      <c r="N41" s="100">
        <f>N26+N34</f>
        <v>561</v>
      </c>
      <c r="O41" s="251">
        <f>O26+O34</f>
        <v>561</v>
      </c>
      <c r="P41" s="252">
        <f>P26+P34</f>
        <v>561</v>
      </c>
      <c r="Q41" s="620"/>
      <c r="R41" s="75">
        <f>SUM(R26,R34,R40)</f>
        <v>0</v>
      </c>
      <c r="S41" s="76">
        <f t="shared" si="14"/>
        <v>0</v>
      </c>
      <c r="T41" s="74">
        <f>SUM(T26,T34,T40)</f>
        <v>0</v>
      </c>
      <c r="U41" s="154" t="str">
        <f>IF(G41=3366,"○",IF(G41&lt;3366,"▽","△"))</f>
        <v>○</v>
      </c>
      <c r="V41" s="155">
        <f>G41-3366</f>
        <v>0</v>
      </c>
      <c r="W41" s="147"/>
      <c r="X41" s="148"/>
      <c r="Y41" s="148"/>
      <c r="Z41" s="149"/>
      <c r="AA41" s="572"/>
      <c r="AB41" s="572"/>
      <c r="AC41" s="572"/>
      <c r="AD41" s="572"/>
      <c r="AE41" s="572"/>
    </row>
    <row r="42" spans="1:34" ht="18" customHeight="1" thickTop="1" thickBot="1" x14ac:dyDescent="0.35">
      <c r="A42" s="621" t="s">
        <v>18</v>
      </c>
      <c r="B42" s="622"/>
      <c r="C42" s="622"/>
      <c r="D42" s="622"/>
      <c r="E42" s="622"/>
      <c r="F42" s="622"/>
      <c r="G42" s="622"/>
      <c r="H42" s="622"/>
      <c r="I42" s="621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2" s="622"/>
      <c r="K42" s="622"/>
      <c r="L42" s="213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2" s="108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2" s="109">
        <f>IF(ISBLANK(N5),0,1)+IF(ISBLANK(N6),0,1)+IF(ISBLANK(N7),0,1)+IF(ISBLANK(N8),0,1)+IF(ISBLANK(N9),0,1)+IF(ISBLANK(N10),0,1)+IF(ISBLANK(N11),0,1)+IF(ISBLANK(N12),0,1)+IF(ISBLANK(N17),0,1)+IF(ISBLANK(N18),0,1)+IF(ISBLANK(N19),0,1)</f>
        <v>8</v>
      </c>
      <c r="O42" s="253">
        <f>IF(ISBLANK(O5),0,1)+IF(ISBLANK(O6),0,1)+IF(ISBLANK(O7),0,1)+IF(ISBLANK(O8),0,1)+IF(ISBLANK(O9),0,1)+IF(ISBLANK(O10),0,1)+IF(ISBLANK(O11),0,1)+IF(ISBLANK(O12),0,1)+IF(ISBLANK(O17),0,1)+IF(ISBLANK(O18),0,1)+IF(ISBLANK(O19),0,1)</f>
        <v>8</v>
      </c>
      <c r="P42" s="254">
        <f>IF(ISBLANK(P5),0,1)+IF(ISBLANK(P6),0,1)+IF(ISBLANK(P7),0,1)+IF(ISBLANK(P8),0,1)+IF(ISBLANK(P9),0,1)+IF(ISBLANK(P10),0,1)+IF(ISBLANK(P11),0,1)+IF(ISBLANK(P12),0,1)+IF(ISBLANK(P17),0,1)+IF(ISBLANK(P18),0,1)+IF(ISBLANK(P19),0,1)</f>
        <v>8</v>
      </c>
      <c r="Q42" s="620"/>
      <c r="R42" s="68"/>
      <c r="S42" s="69"/>
      <c r="T42" s="70"/>
      <c r="U42" s="125"/>
      <c r="V42" s="126"/>
      <c r="W42" s="127"/>
      <c r="X42" s="127"/>
      <c r="Y42" s="127"/>
      <c r="Z42" s="141"/>
    </row>
    <row r="43" spans="1:34" ht="18" customHeight="1" thickTop="1" x14ac:dyDescent="0.3">
      <c r="A43" s="718" t="s">
        <v>26</v>
      </c>
      <c r="B43" s="720" t="s">
        <v>48</v>
      </c>
      <c r="C43" s="720"/>
      <c r="D43" s="720"/>
      <c r="E43" s="720"/>
      <c r="F43" s="722" t="s">
        <v>68</v>
      </c>
      <c r="G43" s="723"/>
      <c r="H43" s="723"/>
      <c r="I43" s="723"/>
      <c r="J43" s="723"/>
      <c r="K43" s="723"/>
      <c r="L43" s="723"/>
      <c r="M43" s="723"/>
      <c r="N43" s="723"/>
      <c r="O43" s="723"/>
      <c r="P43" s="723"/>
      <c r="Q43" s="724"/>
      <c r="R43" s="724"/>
      <c r="S43" s="724"/>
      <c r="T43" s="724"/>
      <c r="U43" s="724"/>
      <c r="V43" s="724"/>
      <c r="W43" s="724"/>
      <c r="X43" s="724"/>
      <c r="Y43" s="724"/>
      <c r="Z43" s="725"/>
    </row>
    <row r="44" spans="1:34" ht="18" customHeight="1" x14ac:dyDescent="0.3">
      <c r="A44" s="718"/>
      <c r="B44" s="720"/>
      <c r="C44" s="720"/>
      <c r="D44" s="720"/>
      <c r="E44" s="720"/>
      <c r="F44" s="722" t="s">
        <v>3</v>
      </c>
      <c r="G44" s="723"/>
      <c r="H44" s="723"/>
      <c r="I44" s="723"/>
      <c r="J44" s="723"/>
      <c r="K44" s="723"/>
      <c r="L44" s="723"/>
      <c r="M44" s="723"/>
      <c r="N44" s="723"/>
      <c r="O44" s="723"/>
      <c r="P44" s="723"/>
      <c r="Q44" s="723"/>
      <c r="R44" s="723"/>
      <c r="S44" s="723"/>
      <c r="T44" s="723"/>
      <c r="U44" s="723"/>
      <c r="V44" s="723"/>
      <c r="W44" s="723"/>
      <c r="X44" s="723"/>
      <c r="Y44" s="723"/>
      <c r="Z44" s="726"/>
    </row>
    <row r="45" spans="1:34" ht="18" customHeight="1" x14ac:dyDescent="0.3">
      <c r="A45" s="718"/>
      <c r="B45" s="720"/>
      <c r="C45" s="720"/>
      <c r="D45" s="720"/>
      <c r="E45" s="720"/>
      <c r="F45" s="722" t="s">
        <v>19</v>
      </c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6"/>
    </row>
    <row r="46" spans="1:34" ht="17.45" customHeight="1" x14ac:dyDescent="0.3">
      <c r="A46" s="718"/>
      <c r="B46" s="720"/>
      <c r="C46" s="720"/>
      <c r="D46" s="720"/>
      <c r="E46" s="720"/>
      <c r="F46" s="744" t="s">
        <v>73</v>
      </c>
      <c r="G46" s="723"/>
      <c r="H46" s="723"/>
      <c r="I46" s="723"/>
      <c r="J46" s="723"/>
      <c r="K46" s="723"/>
      <c r="L46" s="723"/>
      <c r="M46" s="723"/>
      <c r="N46" s="723"/>
      <c r="O46" s="723"/>
      <c r="P46" s="723"/>
      <c r="Q46" s="723"/>
      <c r="R46" s="723"/>
      <c r="S46" s="723"/>
      <c r="T46" s="723"/>
      <c r="U46" s="723"/>
      <c r="V46" s="723"/>
      <c r="W46" s="723"/>
      <c r="X46" s="723"/>
      <c r="Y46" s="723"/>
      <c r="Z46" s="726"/>
    </row>
    <row r="47" spans="1:34" ht="17.45" customHeight="1" x14ac:dyDescent="0.3">
      <c r="A47" s="718"/>
      <c r="B47" s="720"/>
      <c r="C47" s="720"/>
      <c r="D47" s="720"/>
      <c r="E47" s="720"/>
      <c r="F47" s="727" t="s">
        <v>7</v>
      </c>
      <c r="G47" s="728"/>
      <c r="H47" s="728"/>
      <c r="I47" s="728"/>
      <c r="J47" s="728"/>
      <c r="K47" s="728"/>
      <c r="L47" s="728"/>
      <c r="M47" s="728"/>
      <c r="N47" s="728"/>
      <c r="O47" s="728"/>
      <c r="P47" s="728"/>
      <c r="Q47" s="728"/>
      <c r="R47" s="728"/>
      <c r="S47" s="728"/>
      <c r="T47" s="728"/>
      <c r="U47" s="728"/>
      <c r="V47" s="728"/>
      <c r="W47" s="728"/>
      <c r="X47" s="728"/>
      <c r="Y47" s="728"/>
      <c r="Z47" s="729"/>
    </row>
    <row r="48" spans="1:34" ht="18" customHeight="1" x14ac:dyDescent="0.3">
      <c r="A48" s="718"/>
      <c r="B48" s="720"/>
      <c r="C48" s="720"/>
      <c r="D48" s="720"/>
      <c r="E48" s="720"/>
      <c r="F48" s="730" t="s">
        <v>72</v>
      </c>
      <c r="G48" s="731"/>
      <c r="H48" s="731"/>
      <c r="I48" s="731"/>
      <c r="J48" s="731"/>
      <c r="K48" s="731"/>
      <c r="L48" s="731"/>
      <c r="M48" s="731"/>
      <c r="N48" s="731"/>
      <c r="O48" s="731"/>
      <c r="P48" s="731"/>
      <c r="Q48" s="731"/>
      <c r="R48" s="731"/>
      <c r="S48" s="731"/>
      <c r="T48" s="731"/>
      <c r="U48" s="731"/>
      <c r="V48" s="731"/>
      <c r="W48" s="731"/>
      <c r="X48" s="731"/>
      <c r="Y48" s="731"/>
      <c r="Z48" s="732"/>
    </row>
    <row r="49" spans="1:26" x14ac:dyDescent="0.3">
      <c r="A49" s="718"/>
      <c r="B49" s="720"/>
      <c r="C49" s="720"/>
      <c r="D49" s="720"/>
      <c r="E49" s="720"/>
      <c r="F49" s="730" t="s">
        <v>8</v>
      </c>
      <c r="G49" s="731"/>
      <c r="H49" s="731"/>
      <c r="I49" s="731"/>
      <c r="J49" s="731"/>
      <c r="K49" s="731"/>
      <c r="L49" s="731"/>
      <c r="M49" s="731"/>
      <c r="N49" s="731"/>
      <c r="O49" s="731"/>
      <c r="P49" s="731"/>
      <c r="Q49" s="731"/>
      <c r="R49" s="731"/>
      <c r="S49" s="731"/>
      <c r="T49" s="731"/>
      <c r="U49" s="731"/>
      <c r="V49" s="731"/>
      <c r="W49" s="731"/>
      <c r="X49" s="731"/>
      <c r="Y49" s="731"/>
      <c r="Z49" s="732"/>
    </row>
    <row r="50" spans="1:26" ht="17.25" thickBot="1" x14ac:dyDescent="0.35">
      <c r="A50" s="719"/>
      <c r="B50" s="721"/>
      <c r="C50" s="721"/>
      <c r="D50" s="721"/>
      <c r="E50" s="721"/>
      <c r="F50" s="733" t="s">
        <v>21</v>
      </c>
      <c r="G50" s="734"/>
      <c r="H50" s="734"/>
      <c r="I50" s="734"/>
      <c r="J50" s="734"/>
      <c r="K50" s="734"/>
      <c r="L50" s="734"/>
      <c r="M50" s="734"/>
      <c r="N50" s="734"/>
      <c r="O50" s="734"/>
      <c r="P50" s="734"/>
      <c r="Q50" s="734"/>
      <c r="R50" s="734"/>
      <c r="S50" s="734"/>
      <c r="T50" s="734"/>
      <c r="U50" s="734"/>
      <c r="V50" s="734"/>
      <c r="W50" s="734"/>
      <c r="X50" s="734"/>
      <c r="Y50" s="734"/>
      <c r="Z50" s="735"/>
    </row>
    <row r="51" spans="1:26" ht="17.25" thickTop="1" x14ac:dyDescent="0.3"/>
  </sheetData>
  <sheetProtection algorithmName="SHA-512" hashValue="puwDeT6jX0QrwgVFNkD/ysON2FXyuQa8vIzSemY/7FBtafo74uZBRSiUGsHbLt9WJP+ABpj/MzNIc0yNrQf/9w==" saltValue="ddN11BQasSwL091uGtYtCQ==" spinCount="100000" sheet="1" objects="1" scenarios="1"/>
  <mergeCells count="149">
    <mergeCell ref="AA32:AH32"/>
    <mergeCell ref="U31:U33"/>
    <mergeCell ref="T27:T30"/>
    <mergeCell ref="F45:Z45"/>
    <mergeCell ref="F46:Z46"/>
    <mergeCell ref="U34:Y34"/>
    <mergeCell ref="X27:Z29"/>
    <mergeCell ref="X32:Y33"/>
    <mergeCell ref="Z32:Z33"/>
    <mergeCell ref="I34:I35"/>
    <mergeCell ref="G31:G33"/>
    <mergeCell ref="G30:H30"/>
    <mergeCell ref="A43:A50"/>
    <mergeCell ref="B43:E50"/>
    <mergeCell ref="F43:Z43"/>
    <mergeCell ref="F44:Z44"/>
    <mergeCell ref="F47:Z47"/>
    <mergeCell ref="F48:Z48"/>
    <mergeCell ref="F49:Z49"/>
    <mergeCell ref="F50:Z50"/>
    <mergeCell ref="AA40:AE40"/>
    <mergeCell ref="A41:E41"/>
    <mergeCell ref="I42:K42"/>
    <mergeCell ref="B40:E40"/>
    <mergeCell ref="G40:H40"/>
    <mergeCell ref="AA41:AE41"/>
    <mergeCell ref="AA23:AH25"/>
    <mergeCell ref="W35:Z35"/>
    <mergeCell ref="W40:Z40"/>
    <mergeCell ref="G34:H35"/>
    <mergeCell ref="V31:V33"/>
    <mergeCell ref="N34:N35"/>
    <mergeCell ref="R27:R30"/>
    <mergeCell ref="O34:O35"/>
    <mergeCell ref="P34:P35"/>
    <mergeCell ref="W18:W25"/>
    <mergeCell ref="X18:X25"/>
    <mergeCell ref="G28:H28"/>
    <mergeCell ref="U18:U25"/>
    <mergeCell ref="G26:H26"/>
    <mergeCell ref="R18:R25"/>
    <mergeCell ref="S18:S25"/>
    <mergeCell ref="T18:T25"/>
    <mergeCell ref="T34:T35"/>
    <mergeCell ref="S34:S35"/>
    <mergeCell ref="R34:R35"/>
    <mergeCell ref="M34:M35"/>
    <mergeCell ref="AA35:AG35"/>
    <mergeCell ref="AA34:AH34"/>
    <mergeCell ref="S27:S30"/>
    <mergeCell ref="B39:E39"/>
    <mergeCell ref="F36:F39"/>
    <mergeCell ref="Z18:Z25"/>
    <mergeCell ref="G36:H36"/>
    <mergeCell ref="G37:H37"/>
    <mergeCell ref="G38:H38"/>
    <mergeCell ref="B27:E27"/>
    <mergeCell ref="F27:F33"/>
    <mergeCell ref="B26:E26"/>
    <mergeCell ref="B29:E29"/>
    <mergeCell ref="B30:B33"/>
    <mergeCell ref="C30:E30"/>
    <mergeCell ref="C31:D33"/>
    <mergeCell ref="B34:E35"/>
    <mergeCell ref="F34:F35"/>
    <mergeCell ref="B36:E36"/>
    <mergeCell ref="B37:E37"/>
    <mergeCell ref="B28:E28"/>
    <mergeCell ref="G9:H9"/>
    <mergeCell ref="AA31:AH31"/>
    <mergeCell ref="W27:W33"/>
    <mergeCell ref="Q26:Q42"/>
    <mergeCell ref="A42:H42"/>
    <mergeCell ref="G39:H39"/>
    <mergeCell ref="U36:Z36"/>
    <mergeCell ref="U37:Z37"/>
    <mergeCell ref="U38:Z38"/>
    <mergeCell ref="U39:Z39"/>
    <mergeCell ref="A5:A26"/>
    <mergeCell ref="B5:E5"/>
    <mergeCell ref="G5:H5"/>
    <mergeCell ref="B6:C8"/>
    <mergeCell ref="D6:E6"/>
    <mergeCell ref="D18:E18"/>
    <mergeCell ref="G41:H41"/>
    <mergeCell ref="Y18:Y25"/>
    <mergeCell ref="V18:V25"/>
    <mergeCell ref="K34:K35"/>
    <mergeCell ref="L34:L35"/>
    <mergeCell ref="G17:H17"/>
    <mergeCell ref="B18:C25"/>
    <mergeCell ref="B15:C16"/>
    <mergeCell ref="G13:G14"/>
    <mergeCell ref="G15:G16"/>
    <mergeCell ref="G18:G25"/>
    <mergeCell ref="D19:E19"/>
    <mergeCell ref="D25:E25"/>
    <mergeCell ref="F18:F25"/>
    <mergeCell ref="D23:E23"/>
    <mergeCell ref="D24:E24"/>
    <mergeCell ref="D22:E22"/>
    <mergeCell ref="AA1:AH1"/>
    <mergeCell ref="Y3:Y4"/>
    <mergeCell ref="Z10:Z12"/>
    <mergeCell ref="F10:F12"/>
    <mergeCell ref="D14:E14"/>
    <mergeCell ref="F3:F4"/>
    <mergeCell ref="G3:H4"/>
    <mergeCell ref="Z3:Z4"/>
    <mergeCell ref="Z6:Z8"/>
    <mergeCell ref="I3:L3"/>
    <mergeCell ref="D11:E11"/>
    <mergeCell ref="D12:E12"/>
    <mergeCell ref="G6:G8"/>
    <mergeCell ref="U3:U4"/>
    <mergeCell ref="O3:P3"/>
    <mergeCell ref="M3:N3"/>
    <mergeCell ref="W3:W4"/>
    <mergeCell ref="X3:X4"/>
    <mergeCell ref="R3:R4"/>
    <mergeCell ref="V3:V4"/>
    <mergeCell ref="D8:E8"/>
    <mergeCell ref="D7:E7"/>
    <mergeCell ref="Q3:Q4"/>
    <mergeCell ref="A3:E4"/>
    <mergeCell ref="A27:A35"/>
    <mergeCell ref="G27:H27"/>
    <mergeCell ref="G29:H29"/>
    <mergeCell ref="A36:A40"/>
    <mergeCell ref="J34:J35"/>
    <mergeCell ref="S3:S4"/>
    <mergeCell ref="T3:T4"/>
    <mergeCell ref="A1:E1"/>
    <mergeCell ref="F1:P1"/>
    <mergeCell ref="F6:F8"/>
    <mergeCell ref="F15:F16"/>
    <mergeCell ref="D21:E21"/>
    <mergeCell ref="D16:E16"/>
    <mergeCell ref="D13:E13"/>
    <mergeCell ref="F13:F14"/>
    <mergeCell ref="D15:E15"/>
    <mergeCell ref="G10:G12"/>
    <mergeCell ref="B9:E9"/>
    <mergeCell ref="D20:E20"/>
    <mergeCell ref="B13:C14"/>
    <mergeCell ref="B17:E17"/>
    <mergeCell ref="B38:E38"/>
    <mergeCell ref="B10:C12"/>
    <mergeCell ref="D10:E10"/>
  </mergeCells>
  <phoneticPr fontId="14" type="noConversion"/>
  <conditionalFormatting sqref="F34">
    <cfRule type="cellIs" dxfId="242" priority="306" operator="equal">
      <formula>272</formula>
    </cfRule>
    <cfRule type="cellIs" dxfId="241" priority="305" operator="between">
      <formula>272</formula>
      <formula>136</formula>
    </cfRule>
  </conditionalFormatting>
  <conditionalFormatting sqref="F34:F35">
    <cfRule type="cellIs" dxfId="240" priority="277" operator="between">
      <formula>272</formula>
      <formula>306</formula>
    </cfRule>
  </conditionalFormatting>
  <conditionalFormatting sqref="G15:G16">
    <cfRule type="expression" dxfId="239" priority="21">
      <formula>IF(G15&lt;#REF!,1,0)</formula>
    </cfRule>
    <cfRule type="expression" dxfId="238" priority="22">
      <formula>IF(G15&gt;=#REF!,1,0)</formula>
    </cfRule>
    <cfRule type="expression" dxfId="237" priority="19">
      <formula>IF(G15&lt;238,1,0)</formula>
    </cfRule>
    <cfRule type="expression" dxfId="236" priority="20">
      <formula>IF(G15&gt;=238,1,0)</formula>
    </cfRule>
  </conditionalFormatting>
  <conditionalFormatting sqref="G17">
    <cfRule type="expression" dxfId="235" priority="31">
      <formula>IF(OR($G$17&lt;$X$17,$G$17&gt;$Y$17),1,0)</formula>
    </cfRule>
    <cfRule type="expression" dxfId="234" priority="32">
      <formula>IF(AND($G$17&gt;=$X$17,$G$17&lt;=$Y$17),1,0)</formula>
    </cfRule>
  </conditionalFormatting>
  <conditionalFormatting sqref="G18:G25">
    <cfRule type="expression" dxfId="233" priority="17">
      <formula>IF(OR($G$18&lt;136,$G$18&gt;204),1,0)</formula>
    </cfRule>
    <cfRule type="expression" dxfId="232" priority="18">
      <formula>IF(AND($G$18&gt;=136,$G$18&lt;=204),1,0)</formula>
    </cfRule>
  </conditionalFormatting>
  <conditionalFormatting sqref="G5:H5">
    <cfRule type="expression" dxfId="231" priority="29">
      <formula>IF(OR($G$5&lt;$X$5,$G$5&gt;$Y$5),1,0)</formula>
    </cfRule>
    <cfRule type="expression" dxfId="230" priority="30">
      <formula>IF(AND($G$5&gt;=$X$5,$G$5&lt;=$Y$5),1,0)</formula>
    </cfRule>
  </conditionalFormatting>
  <conditionalFormatting sqref="G9:H9">
    <cfRule type="expression" dxfId="229" priority="42">
      <formula>IF(AND($G$9&gt;=$X$9,$G$9&lt;=$Y$9),1,0)</formula>
    </cfRule>
    <cfRule type="expression" dxfId="228" priority="41">
      <formula>IF(OR($G$9&lt;$X$9,$G$9&gt;$Y$9),1,0)</formula>
    </cfRule>
  </conditionalFormatting>
  <conditionalFormatting sqref="G41:H41">
    <cfRule type="expression" dxfId="227" priority="27">
      <formula>IF($G$41&lt;3366,1,0)</formula>
    </cfRule>
    <cfRule type="expression" dxfId="226" priority="28">
      <formula>IF($G$41&gt;=3366,1,0)</formula>
    </cfRule>
  </conditionalFormatting>
  <conditionalFormatting sqref="H6">
    <cfRule type="expression" dxfId="225" priority="3">
      <formula>IF(OR($H$6&lt;$X$6,$H6&gt;$Y$6),1,0)</formula>
    </cfRule>
    <cfRule type="expression" dxfId="224" priority="4">
      <formula>IF(AND($H$6&gt;=$X$6,$H$6&lt;=$Y$6),1,0)</formula>
    </cfRule>
  </conditionalFormatting>
  <conditionalFormatting sqref="H8">
    <cfRule type="expression" dxfId="223" priority="2">
      <formula>IF(AND($H$8&gt;=$X$8,$H$8&lt;=$Y$8),1,0)</formula>
    </cfRule>
    <cfRule type="expression" dxfId="222" priority="1">
      <formula>IF(OR($H$8&lt;$X$8,$H8&gt;$Y$8),1,0)</formula>
    </cfRule>
  </conditionalFormatting>
  <conditionalFormatting sqref="H10">
    <cfRule type="expression" dxfId="221" priority="35">
      <formula>IF(OR($H$10&lt;$X$10,$H10&gt;$Y$10),1,0)</formula>
    </cfRule>
    <cfRule type="expression" dxfId="220" priority="36">
      <formula>IF(AND($H$10&gt;=$X$10,$H$10&lt;=$Y$10),1,0)</formula>
    </cfRule>
  </conditionalFormatting>
  <conditionalFormatting sqref="H11">
    <cfRule type="expression" dxfId="219" priority="38">
      <formula>IF(AND($H$11&gt;=$X$11,$H$11&lt;=$Y$11),1,0)</formula>
    </cfRule>
    <cfRule type="expression" dxfId="218" priority="37">
      <formula>IF(OR($H$11&lt;$X$11,$H11&gt;$Y$11),1,0)</formula>
    </cfRule>
  </conditionalFormatting>
  <conditionalFormatting sqref="H12">
    <cfRule type="expression" dxfId="217" priority="40">
      <formula>IF(AND($H$12&gt;=$X$12,$H$12&lt;=$Y$12),1,0)</formula>
    </cfRule>
    <cfRule type="expression" dxfId="216" priority="39">
      <formula>IF(OR($H$12&lt;$X$12,$H12&gt;$Y$12),1,0)</formula>
    </cfRule>
  </conditionalFormatting>
  <conditionalFormatting sqref="H13">
    <cfRule type="expression" dxfId="215" priority="25">
      <formula>IF(OR(H13&lt;221,H13&gt;326),1,0)</formula>
    </cfRule>
    <cfRule type="expression" dxfId="214" priority="26">
      <formula>IF(AND(H13&gt;=221,H13&lt;=326),1,0)</formula>
    </cfRule>
  </conditionalFormatting>
  <conditionalFormatting sqref="H14">
    <cfRule type="expression" dxfId="213" priority="23">
      <formula>IF(OR(H14&lt;0,H14&gt;34),1,0)</formula>
    </cfRule>
    <cfRule type="expression" dxfId="212" priority="24">
      <formula>IF(AND(H14&gt;=0,H14&lt;=34),1,0)</formula>
    </cfRule>
  </conditionalFormatting>
  <conditionalFormatting sqref="H15:H16">
    <cfRule type="expression" dxfId="211" priority="14">
      <formula>IF(OR(H15&lt;119,H15&gt;163),1,0)</formula>
    </cfRule>
    <cfRule type="expression" dxfId="210" priority="15">
      <formula>IF(AND(H15&gt;=119,H15&lt;=163),1,0)</formula>
    </cfRule>
  </conditionalFormatting>
  <conditionalFormatting sqref="H31">
    <cfRule type="cellIs" dxfId="209" priority="16" operator="greaterThan">
      <formula>68</formula>
    </cfRule>
  </conditionalFormatting>
  <conditionalFormatting sqref="I42:P42">
    <cfRule type="cellIs" dxfId="208" priority="127" operator="greaterThan">
      <formula>8</formula>
    </cfRule>
  </conditionalFormatting>
  <conditionalFormatting sqref="J41">
    <cfRule type="cellIs" dxfId="207" priority="126" operator="notEqual">
      <formula>$I$41</formula>
    </cfRule>
  </conditionalFormatting>
  <conditionalFormatting sqref="K41">
    <cfRule type="cellIs" dxfId="206" priority="124" operator="notEqual">
      <formula>0</formula>
    </cfRule>
  </conditionalFormatting>
  <conditionalFormatting sqref="R5">
    <cfRule type="cellIs" dxfId="205" priority="99" operator="lessThan">
      <formula>-88</formula>
    </cfRule>
    <cfRule type="cellIs" dxfId="204" priority="98" operator="greaterThan">
      <formula>88</formula>
    </cfRule>
  </conditionalFormatting>
  <conditionalFormatting sqref="R6:R8">
    <cfRule type="cellIs" dxfId="203" priority="92" operator="lessThan">
      <formula>-34</formula>
    </cfRule>
    <cfRule type="cellIs" dxfId="202" priority="93" operator="greaterThan">
      <formula>34</formula>
    </cfRule>
  </conditionalFormatting>
  <conditionalFormatting sqref="R9:R10">
    <cfRule type="cellIs" dxfId="201" priority="89" operator="greaterThan">
      <formula>74</formula>
    </cfRule>
    <cfRule type="cellIs" dxfId="200" priority="88" operator="lessThan">
      <formula>-74</formula>
    </cfRule>
  </conditionalFormatting>
  <conditionalFormatting sqref="R11">
    <cfRule type="cellIs" dxfId="199" priority="87" operator="greaterThan">
      <formula>54</formula>
    </cfRule>
    <cfRule type="cellIs" dxfId="198" priority="86" operator="lessThan">
      <formula>-54</formula>
    </cfRule>
  </conditionalFormatting>
  <conditionalFormatting sqref="R12">
    <cfRule type="cellIs" dxfId="197" priority="85" operator="greaterThan">
      <formula>6</formula>
    </cfRule>
  </conditionalFormatting>
  <conditionalFormatting sqref="R12:R13">
    <cfRule type="cellIs" dxfId="196" priority="9" operator="lessThan">
      <formula>0</formula>
    </cfRule>
  </conditionalFormatting>
  <conditionalFormatting sqref="R13">
    <cfRule type="cellIs" dxfId="195" priority="8" operator="greaterThan">
      <formula>54</formula>
    </cfRule>
  </conditionalFormatting>
  <conditionalFormatting sqref="R14">
    <cfRule type="cellIs" dxfId="194" priority="7" operator="greaterThan">
      <formula>34</formula>
    </cfRule>
  </conditionalFormatting>
  <conditionalFormatting sqref="R15:R16">
    <cfRule type="cellIs" dxfId="193" priority="52" operator="lessThan">
      <formula>0</formula>
    </cfRule>
    <cfRule type="cellIs" dxfId="192" priority="50" operator="greaterThan">
      <formula>27</formula>
    </cfRule>
  </conditionalFormatting>
  <conditionalFormatting sqref="R17">
    <cfRule type="cellIs" dxfId="191" priority="79" operator="lessThan">
      <formula>-68</formula>
    </cfRule>
    <cfRule type="cellIs" dxfId="190" priority="80" operator="greaterThan">
      <formula>68</formula>
    </cfRule>
  </conditionalFormatting>
  <conditionalFormatting sqref="R18:R25">
    <cfRule type="cellIs" dxfId="189" priority="47" operator="lessThan">
      <formula>0</formula>
    </cfRule>
    <cfRule type="cellIs" dxfId="188" priority="46" operator="greaterThan">
      <formula>34</formula>
    </cfRule>
  </conditionalFormatting>
  <conditionalFormatting sqref="R27:R30">
    <cfRule type="cellIs" dxfId="187" priority="109" operator="lessThan">
      <formula>-68</formula>
    </cfRule>
  </conditionalFormatting>
  <conditionalFormatting sqref="R31">
    <cfRule type="cellIs" dxfId="186" priority="112" operator="greaterThan">
      <formula>68</formula>
    </cfRule>
  </conditionalFormatting>
  <conditionalFormatting sqref="S41">
    <cfRule type="cellIs" dxfId="185" priority="13" operator="notEqual">
      <formula>0</formula>
    </cfRule>
  </conditionalFormatting>
  <conditionalFormatting sqref="U5:U25">
    <cfRule type="notContainsText" dxfId="184" priority="5" operator="notContains" text="○">
      <formula>ISERROR(SEARCH("○",U5))</formula>
    </cfRule>
  </conditionalFormatting>
  <conditionalFormatting sqref="U31:U33">
    <cfRule type="notContainsText" dxfId="183" priority="63" operator="notContains" text="○">
      <formula>ISERROR(SEARCH("○",U31))</formula>
    </cfRule>
  </conditionalFormatting>
  <conditionalFormatting sqref="V5">
    <cfRule type="cellIs" dxfId="182" priority="116" operator="greaterThan">
      <formula>85</formula>
    </cfRule>
  </conditionalFormatting>
  <conditionalFormatting sqref="V14">
    <cfRule type="expression" dxfId="181" priority="11">
      <formula>IF(V14&gt;0,1,0)</formula>
    </cfRule>
    <cfRule type="expression" dxfId="180" priority="10">
      <formula>IF(V14&lt;=0,1,0)</formula>
    </cfRule>
  </conditionalFormatting>
  <conditionalFormatting sqref="V31:V33">
    <cfRule type="expression" dxfId="179" priority="106">
      <formula>IF(V31&lt;=0,1,0)</formula>
    </cfRule>
    <cfRule type="cellIs" dxfId="178" priority="105" operator="lessThan">
      <formula>0</formula>
    </cfRule>
  </conditionalFormatting>
  <conditionalFormatting sqref="V35">
    <cfRule type="cellIs" dxfId="177" priority="107" operator="greaterThan">
      <formula>51</formula>
    </cfRule>
  </conditionalFormatting>
  <conditionalFormatting sqref="V40">
    <cfRule type="cellIs" dxfId="176" priority="62" operator="lessThan">
      <formula>170</formula>
    </cfRule>
  </conditionalFormatting>
  <conditionalFormatting sqref="V41">
    <cfRule type="expression" dxfId="175" priority="56">
      <formula>IF(V41&gt;0,1,0)</formula>
    </cfRule>
    <cfRule type="expression" dxfId="174" priority="55">
      <formula>IF(V41&gt;=0,1,0)</formula>
    </cfRule>
    <cfRule type="expression" dxfId="173" priority="54">
      <formula>IF(V41&lt;0,1,0)</formula>
    </cfRule>
  </conditionalFormatting>
  <conditionalFormatting sqref="X31:Z31">
    <cfRule type="cellIs" dxfId="172" priority="102" operator="lessThan">
      <formula>17</formula>
    </cfRule>
  </conditionalFormatting>
  <conditionalFormatting sqref="Z32:Z33">
    <cfRule type="cellIs" dxfId="171" priority="101" operator="lessThan">
      <formula>136</formula>
    </cfRule>
  </conditionalFormatting>
  <conditionalFormatting sqref="Z34">
    <cfRule type="cellIs" dxfId="170" priority="108" operator="lessThan">
      <formula>238</formula>
    </cfRule>
  </conditionalFormatting>
  <printOptions horizontalCentered="1" verticalCentered="1"/>
  <pageMargins left="0.39347222447395325" right="0.39347222447395325" top="0.39347222447395325" bottom="0.39347222447395325" header="0" footer="0"/>
  <pageSetup paperSize="9" scale="57" orientation="landscape" r:id="rId1"/>
  <ignoredErrors>
    <ignoredError sqref="K26:L26 S40:S41 U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4"/>
  <sheetViews>
    <sheetView zoomScaleNormal="100" zoomScaleSheetLayoutView="75" workbookViewId="0">
      <selection activeCell="V43" sqref="V43:Y43"/>
    </sheetView>
  </sheetViews>
  <sheetFormatPr defaultColWidth="8.75" defaultRowHeight="16.5" x14ac:dyDescent="0.3"/>
  <cols>
    <col min="1" max="2" width="7.625" style="263" customWidth="1"/>
    <col min="3" max="3" width="10.375" style="263" customWidth="1"/>
    <col min="4" max="4" width="5.625" style="263" customWidth="1"/>
    <col min="5" max="5" width="8.25" style="263" bestFit="1" customWidth="1"/>
    <col min="6" max="6" width="5.75" style="263" bestFit="1" customWidth="1"/>
    <col min="7" max="8" width="5.375" style="263" customWidth="1"/>
    <col min="9" max="15" width="5.625" style="263" customWidth="1"/>
    <col min="16" max="16" width="4.875" style="263" customWidth="1"/>
    <col min="17" max="17" width="6.25" style="263" customWidth="1"/>
    <col min="18" max="18" width="6.25" style="266" customWidth="1"/>
    <col min="19" max="19" width="7.75" style="263" customWidth="1"/>
    <col min="20" max="20" width="6.25" style="263" customWidth="1"/>
    <col min="21" max="21" width="7.25" style="263" customWidth="1"/>
    <col min="22" max="22" width="8" style="263" customWidth="1"/>
    <col min="23" max="24" width="6.625" style="263" customWidth="1"/>
    <col min="25" max="25" width="8.625" style="266" customWidth="1"/>
    <col min="26" max="26" width="5.5" style="266" customWidth="1"/>
    <col min="27" max="27" width="7.5" style="266" customWidth="1"/>
    <col min="28" max="29" width="5.5" style="266" customWidth="1"/>
    <col min="30" max="30" width="7.5" style="263" customWidth="1"/>
    <col min="31" max="31" width="11.125" style="263" hidden="1" customWidth="1"/>
    <col min="32" max="32" width="8" style="263" hidden="1" customWidth="1"/>
    <col min="33" max="33" width="8.75" style="263" hidden="1" customWidth="1"/>
    <col min="34" max="16384" width="8.75" style="263"/>
  </cols>
  <sheetData>
    <row r="1" spans="1:36" ht="26.25" x14ac:dyDescent="0.3">
      <c r="A1" s="768" t="s">
        <v>128</v>
      </c>
      <c r="B1" s="768"/>
      <c r="C1" s="768"/>
      <c r="D1" s="768"/>
      <c r="E1" s="769" t="s">
        <v>86</v>
      </c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261"/>
      <c r="Q1" s="261"/>
      <c r="R1" s="262"/>
      <c r="S1" s="261"/>
      <c r="T1" s="261"/>
      <c r="U1" s="261"/>
      <c r="V1" s="261"/>
      <c r="W1" s="261"/>
      <c r="X1" s="261"/>
      <c r="Y1" s="261"/>
      <c r="Z1" s="770"/>
      <c r="AA1" s="770"/>
      <c r="AB1" s="770"/>
      <c r="AC1" s="770"/>
      <c r="AD1" s="770"/>
      <c r="AE1" s="770"/>
      <c r="AF1" s="770"/>
      <c r="AG1" s="770"/>
      <c r="AH1" s="770"/>
    </row>
    <row r="2" spans="1:36" ht="17.25" thickBot="1" x14ac:dyDescent="0.35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5"/>
      <c r="S2" s="264"/>
      <c r="T2" s="264"/>
    </row>
    <row r="3" spans="1:36" ht="18.600000000000001" customHeight="1" thickTop="1" thickBot="1" x14ac:dyDescent="0.35">
      <c r="A3" s="771" t="s">
        <v>38</v>
      </c>
      <c r="B3" s="772"/>
      <c r="C3" s="772"/>
      <c r="D3" s="772"/>
      <c r="E3" s="773"/>
      <c r="F3" s="777" t="s">
        <v>50</v>
      </c>
      <c r="G3" s="779" t="s">
        <v>87</v>
      </c>
      <c r="H3" s="772"/>
      <c r="I3" s="781" t="s">
        <v>33</v>
      </c>
      <c r="J3" s="782"/>
      <c r="K3" s="783"/>
      <c r="L3" s="784" t="s">
        <v>43</v>
      </c>
      <c r="M3" s="784"/>
      <c r="N3" s="785" t="s">
        <v>30</v>
      </c>
      <c r="O3" s="786"/>
      <c r="P3" s="787" t="s">
        <v>88</v>
      </c>
      <c r="Q3" s="810" t="s">
        <v>89</v>
      </c>
      <c r="R3" s="812" t="s">
        <v>129</v>
      </c>
      <c r="S3" s="814" t="s">
        <v>90</v>
      </c>
      <c r="T3" s="816" t="s">
        <v>67</v>
      </c>
      <c r="U3" s="795" t="s">
        <v>17</v>
      </c>
      <c r="V3" s="789" t="s">
        <v>10</v>
      </c>
      <c r="W3" s="791" t="s">
        <v>57</v>
      </c>
      <c r="X3" s="791" t="s">
        <v>62</v>
      </c>
      <c r="Y3" s="793" t="s">
        <v>15</v>
      </c>
      <c r="Z3" s="263"/>
      <c r="AA3" s="263"/>
      <c r="AB3" s="263"/>
      <c r="AC3" s="263"/>
    </row>
    <row r="4" spans="1:36" ht="28.5" customHeight="1" thickBot="1" x14ac:dyDescent="0.35">
      <c r="A4" s="774"/>
      <c r="B4" s="775"/>
      <c r="C4" s="775"/>
      <c r="D4" s="775"/>
      <c r="E4" s="776"/>
      <c r="F4" s="778"/>
      <c r="G4" s="780"/>
      <c r="H4" s="775"/>
      <c r="I4" s="267" t="s">
        <v>91</v>
      </c>
      <c r="J4" s="268" t="s">
        <v>92</v>
      </c>
      <c r="K4" s="269" t="s">
        <v>93</v>
      </c>
      <c r="L4" s="270" t="s">
        <v>70</v>
      </c>
      <c r="M4" s="271" t="s">
        <v>69</v>
      </c>
      <c r="N4" s="272" t="s">
        <v>70</v>
      </c>
      <c r="O4" s="273" t="s">
        <v>69</v>
      </c>
      <c r="P4" s="788"/>
      <c r="Q4" s="811"/>
      <c r="R4" s="813"/>
      <c r="S4" s="815"/>
      <c r="T4" s="817"/>
      <c r="U4" s="796"/>
      <c r="V4" s="790"/>
      <c r="W4" s="792"/>
      <c r="X4" s="792"/>
      <c r="Y4" s="79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</row>
    <row r="5" spans="1:36" ht="18" customHeight="1" thickTop="1" thickBot="1" x14ac:dyDescent="0.35">
      <c r="A5" s="929" t="s">
        <v>42</v>
      </c>
      <c r="B5" s="797" t="s">
        <v>96</v>
      </c>
      <c r="C5" s="798"/>
      <c r="D5" s="798"/>
      <c r="E5" s="799"/>
      <c r="F5" s="275">
        <v>442</v>
      </c>
      <c r="G5" s="800">
        <f>SUM(J5,K5,L5,M5,N5,O5,S5)</f>
        <v>386</v>
      </c>
      <c r="H5" s="801"/>
      <c r="I5" s="276">
        <v>80</v>
      </c>
      <c r="J5" s="277">
        <v>63</v>
      </c>
      <c r="K5" s="278">
        <v>51</v>
      </c>
      <c r="L5" s="279">
        <v>68</v>
      </c>
      <c r="M5" s="280">
        <v>68</v>
      </c>
      <c r="N5" s="281">
        <v>68</v>
      </c>
      <c r="O5" s="282">
        <v>68</v>
      </c>
      <c r="P5" s="283">
        <f t="shared" ref="P5:P26" si="0">IF(ISBLANK(J5),0,1)+IF(ISBLANK(K5),0,1)+IF(ISBLANK(L5),0,1)+IF(ISBLANK(M5),0,1)+IF(ISBLANK(N5),0,1)+IF(ISBLANK(O5),0,1)</f>
        <v>6</v>
      </c>
      <c r="Q5" s="284">
        <f t="shared" ref="Q5:Q11" si="1">SUM(I5,K5,L5,M5,N5,O5)-V5</f>
        <v>-39</v>
      </c>
      <c r="R5" s="285">
        <f t="shared" ref="R5:R26" si="2">J5-I5</f>
        <v>-17</v>
      </c>
      <c r="S5" s="286">
        <f>IFERROR(VLOOKUP("국어", $C$27:$H$27, 6, FALSE), "0")+IFERROR(VLOOKUP("국어", $C$28:$H$28, 6, FALSE), "0")+IFERROR(VLOOKUP("국어", $C$29:$H$29, 6, FALSE), "0")+IFERROR(VLOOKUP("국어", $C$30:$H$30, 6, FALSE), "0")+IFERROR(VLOOKUP("국어", $C$31:$H$31, 6, FALSE), "0")+IFERROR(VLOOKUP("국어", $C$32:$H$32, 6, FALSE), "0")</f>
        <v>0</v>
      </c>
      <c r="T5" s="287">
        <f>SUM(Q5:S5)</f>
        <v>-56</v>
      </c>
      <c r="U5" s="288" t="str">
        <f>IF(AND(G5&gt;=W5,G5&lt;=X5),"○",IF(G5&lt;W5,"▽","△"))</f>
        <v>○</v>
      </c>
      <c r="V5" s="524">
        <v>442</v>
      </c>
      <c r="W5" s="289">
        <v>354</v>
      </c>
      <c r="X5" s="289">
        <v>530</v>
      </c>
      <c r="Y5" s="290">
        <v>88</v>
      </c>
      <c r="Z5" s="274"/>
      <c r="AA5" s="263"/>
      <c r="AB5" s="263"/>
      <c r="AC5" s="263"/>
      <c r="AF5" s="291" t="s">
        <v>96</v>
      </c>
    </row>
    <row r="6" spans="1:36" ht="18" customHeight="1" thickTop="1" x14ac:dyDescent="0.3">
      <c r="A6" s="915"/>
      <c r="B6" s="802" t="s">
        <v>1</v>
      </c>
      <c r="C6" s="803"/>
      <c r="D6" s="808" t="s">
        <v>44</v>
      </c>
      <c r="E6" s="809"/>
      <c r="F6" s="818">
        <v>510</v>
      </c>
      <c r="G6" s="821">
        <f>SUM(H6:H8)</f>
        <v>408</v>
      </c>
      <c r="H6" s="292">
        <f>SUM(L6,M6,N6,O6,K6,J6,S6)</f>
        <v>136</v>
      </c>
      <c r="I6" s="293">
        <v>51</v>
      </c>
      <c r="J6" s="294">
        <v>34</v>
      </c>
      <c r="K6" s="295">
        <v>34</v>
      </c>
      <c r="L6" s="296"/>
      <c r="M6" s="297"/>
      <c r="N6" s="298">
        <v>34</v>
      </c>
      <c r="O6" s="299">
        <v>34</v>
      </c>
      <c r="P6" s="300">
        <f t="shared" si="0"/>
        <v>4</v>
      </c>
      <c r="Q6" s="301">
        <f t="shared" si="1"/>
        <v>-17</v>
      </c>
      <c r="R6" s="302">
        <f t="shared" si="2"/>
        <v>-17</v>
      </c>
      <c r="S6" s="303">
        <f>IFERROR(VLOOKUP("사회", $C$27:$H$27, 6, FALSE), "0")+IFERROR(VLOOKUP("사회", $C$28:$H$28, 6, FALSE), "0")+IFERROR(VLOOKUP("사회", $C$29:$H$29, 6, FALSE), "0")+IFERROR(VLOOKUP("사회", $C$30:$H$30, 6, FALSE), "0")+IFERROR(VLOOKUP("사회", $C$31:$H$31, 6, FALSE), "0")+IFERROR(VLOOKUP("사회", $C$32:$H$32, 6, FALSE), "0")</f>
        <v>0</v>
      </c>
      <c r="T6" s="304">
        <f t="shared" ref="T6:T17" si="3">SUM(Q6:S6)</f>
        <v>-34</v>
      </c>
      <c r="U6" s="305" t="str">
        <f>IF(AND(H6&gt;=W6,H6&lt;=X6),"○",IF(H6&lt;W6,"▽","△"))</f>
        <v>○</v>
      </c>
      <c r="V6" s="525">
        <v>170</v>
      </c>
      <c r="W6" s="306">
        <v>136</v>
      </c>
      <c r="X6" s="306">
        <v>204</v>
      </c>
      <c r="Y6" s="824">
        <v>102</v>
      </c>
      <c r="Z6" s="263"/>
      <c r="AA6" s="263"/>
      <c r="AB6" s="263"/>
      <c r="AC6" s="263"/>
      <c r="AF6" s="291" t="s">
        <v>97</v>
      </c>
    </row>
    <row r="7" spans="1:36" ht="18" customHeight="1" x14ac:dyDescent="0.3">
      <c r="A7" s="915"/>
      <c r="B7" s="804"/>
      <c r="C7" s="805"/>
      <c r="D7" s="827" t="s">
        <v>36</v>
      </c>
      <c r="E7" s="828"/>
      <c r="F7" s="819"/>
      <c r="G7" s="822"/>
      <c r="H7" s="307">
        <f>SUM(L7,M7,N7,O7,K7,J7,S7)</f>
        <v>136</v>
      </c>
      <c r="I7" s="308"/>
      <c r="J7" s="309"/>
      <c r="K7" s="310"/>
      <c r="L7" s="311">
        <v>34</v>
      </c>
      <c r="M7" s="312">
        <v>34</v>
      </c>
      <c r="N7" s="313">
        <v>34</v>
      </c>
      <c r="O7" s="314">
        <v>34</v>
      </c>
      <c r="P7" s="315">
        <f t="shared" si="0"/>
        <v>4</v>
      </c>
      <c r="Q7" s="316">
        <f t="shared" si="1"/>
        <v>-34</v>
      </c>
      <c r="R7" s="317">
        <f t="shared" si="2"/>
        <v>0</v>
      </c>
      <c r="S7" s="318">
        <f>IFERROR(VLOOKUP("역사", $C$27:$H$27, 6, FALSE), "0")+IFERROR(VLOOKUP("역사", $C$28:$H$28, 6, FALSE), "0")+IFERROR(VLOOKUP("역사", $C$29:$H$29, 6, FALSE), "0")+IFERROR(VLOOKUP("역사", $C$30:$H$30, 6, FALSE), "0")+IFERROR(VLOOKUP("역사", $C$31:$H$31, 6, FALSE), "0")+IFERROR(VLOOKUP("역사", $C$32:$H$32, 6, FALSE), "0")</f>
        <v>0</v>
      </c>
      <c r="T7" s="319">
        <f t="shared" si="3"/>
        <v>-34</v>
      </c>
      <c r="U7" s="305" t="str">
        <f>IF(AND(H7&gt;=W7,H7&lt;=X7),"○",IF(H7&lt;W7,"▽","△"))</f>
        <v>○</v>
      </c>
      <c r="V7" s="526">
        <v>170</v>
      </c>
      <c r="W7" s="320">
        <v>136</v>
      </c>
      <c r="X7" s="320">
        <v>204</v>
      </c>
      <c r="Y7" s="825"/>
      <c r="Z7" s="263"/>
      <c r="AA7" s="263"/>
      <c r="AB7" s="263"/>
      <c r="AC7" s="263"/>
      <c r="AF7" s="291" t="s">
        <v>98</v>
      </c>
    </row>
    <row r="8" spans="1:36" ht="18" customHeight="1" thickBot="1" x14ac:dyDescent="0.35">
      <c r="A8" s="915"/>
      <c r="B8" s="806"/>
      <c r="C8" s="807"/>
      <c r="D8" s="829" t="s">
        <v>29</v>
      </c>
      <c r="E8" s="830"/>
      <c r="F8" s="820"/>
      <c r="G8" s="823"/>
      <c r="H8" s="321">
        <f>SUM(L8,M8,N8,O8,K8,J8,S8)</f>
        <v>136</v>
      </c>
      <c r="I8" s="322">
        <v>34</v>
      </c>
      <c r="J8" s="323">
        <v>34</v>
      </c>
      <c r="K8" s="324">
        <v>34</v>
      </c>
      <c r="L8" s="325">
        <v>34</v>
      </c>
      <c r="M8" s="326">
        <v>34</v>
      </c>
      <c r="N8" s="327"/>
      <c r="O8" s="328"/>
      <c r="P8" s="329">
        <f t="shared" si="0"/>
        <v>4</v>
      </c>
      <c r="Q8" s="330">
        <f t="shared" si="1"/>
        <v>-34</v>
      </c>
      <c r="R8" s="331">
        <f t="shared" si="2"/>
        <v>0</v>
      </c>
      <c r="S8" s="332">
        <f>IFERROR(VLOOKUP("도덕", $C$27:$H$27, 6, FALSE), "0")+IFERROR(VLOOKUP("도덕", $C$28:$H$28, 6, FALSE), "0")+IFERROR(VLOOKUP("도덕", $C$29:$H$29, 6, FALSE), "0")+IFERROR(VLOOKUP("도덕", $C$30:$H$30, 6, FALSE), "0")+IFERROR(VLOOKUP("도덕", $C$31:$H$31, 6, FALSE), "0")+IFERROR(VLOOKUP("도덕", $C$32:$H$32, 6, FALSE), "0")</f>
        <v>0</v>
      </c>
      <c r="T8" s="333">
        <f t="shared" si="3"/>
        <v>-34</v>
      </c>
      <c r="U8" s="305" t="str">
        <f>IF(AND(H8&gt;=W8,H8&lt;=X8),"○",IF(H8&lt;W8,"▽","△"))</f>
        <v>○</v>
      </c>
      <c r="V8" s="527">
        <v>170</v>
      </c>
      <c r="W8" s="334">
        <v>136</v>
      </c>
      <c r="X8" s="334">
        <v>204</v>
      </c>
      <c r="Y8" s="826"/>
      <c r="Z8" s="263"/>
      <c r="AA8" s="263"/>
      <c r="AB8" s="263"/>
      <c r="AC8" s="263"/>
      <c r="AF8" s="291" t="s">
        <v>99</v>
      </c>
    </row>
    <row r="9" spans="1:36" ht="18" customHeight="1" thickTop="1" thickBot="1" x14ac:dyDescent="0.35">
      <c r="A9" s="915"/>
      <c r="B9" s="797" t="s">
        <v>34</v>
      </c>
      <c r="C9" s="798"/>
      <c r="D9" s="798"/>
      <c r="E9" s="799"/>
      <c r="F9" s="275">
        <v>374</v>
      </c>
      <c r="G9" s="800">
        <f>SUM(J9,K9,L9,M9,N9,O9,S9)</f>
        <v>387</v>
      </c>
      <c r="H9" s="801"/>
      <c r="I9" s="276">
        <v>64</v>
      </c>
      <c r="J9" s="277">
        <v>47</v>
      </c>
      <c r="K9" s="278">
        <v>68</v>
      </c>
      <c r="L9" s="279">
        <v>68</v>
      </c>
      <c r="M9" s="280">
        <v>68</v>
      </c>
      <c r="N9" s="335">
        <v>68</v>
      </c>
      <c r="O9" s="282">
        <v>68</v>
      </c>
      <c r="P9" s="283">
        <f t="shared" si="0"/>
        <v>6</v>
      </c>
      <c r="Q9" s="284">
        <f t="shared" si="1"/>
        <v>30</v>
      </c>
      <c r="R9" s="285">
        <f t="shared" si="2"/>
        <v>-17</v>
      </c>
      <c r="S9" s="286">
        <f>IFERROR(VLOOKUP("수학", $C$27:$H$27, 6, FALSE), "0")+IFERROR(VLOOKUP("수학", $C$28:$H$28, 6, FALSE), "0")+IFERROR(VLOOKUP("수학", $C$29:$H$29, 6, FALSE), "0")+IFERROR(VLOOKUP("수학", $C$30:$H$30, 6, FALSE), "0")+IFERROR(VLOOKUP("수학", $C$31:$H$31, 6, FALSE), "0")+IFERROR(VLOOKUP("수학", $C$32:$H$32, 6, FALSE), "0")</f>
        <v>0</v>
      </c>
      <c r="T9" s="287">
        <f t="shared" si="3"/>
        <v>13</v>
      </c>
      <c r="U9" s="288" t="str">
        <f>IF(AND(G9&gt;=W9,G9&lt;=X9),"○",IF(G9&lt;W9,"▽","△"))</f>
        <v>○</v>
      </c>
      <c r="V9" s="524">
        <v>374</v>
      </c>
      <c r="W9" s="336">
        <v>300</v>
      </c>
      <c r="X9" s="336">
        <v>448</v>
      </c>
      <c r="Y9" s="337">
        <v>74</v>
      </c>
      <c r="Z9" s="263"/>
      <c r="AA9" s="263"/>
      <c r="AB9" s="263"/>
      <c r="AC9" s="263"/>
      <c r="AF9" s="291" t="s">
        <v>100</v>
      </c>
    </row>
    <row r="10" spans="1:36" ht="18" customHeight="1" thickTop="1" x14ac:dyDescent="0.3">
      <c r="A10" s="915"/>
      <c r="B10" s="802" t="s">
        <v>2</v>
      </c>
      <c r="C10" s="803"/>
      <c r="D10" s="808" t="s">
        <v>25</v>
      </c>
      <c r="E10" s="809"/>
      <c r="F10" s="818">
        <v>680</v>
      </c>
      <c r="G10" s="821">
        <f>SUM(H10:H12)</f>
        <v>675</v>
      </c>
      <c r="H10" s="338">
        <f>SUM(L10,M10,N10,O10,K10,J10,S10)</f>
        <v>337</v>
      </c>
      <c r="I10" s="339">
        <v>48</v>
      </c>
      <c r="J10" s="340">
        <v>31</v>
      </c>
      <c r="K10" s="341">
        <v>68</v>
      </c>
      <c r="L10" s="342">
        <v>51</v>
      </c>
      <c r="M10" s="343">
        <v>51</v>
      </c>
      <c r="N10" s="344">
        <v>68</v>
      </c>
      <c r="O10" s="345">
        <v>68</v>
      </c>
      <c r="P10" s="300">
        <f t="shared" si="0"/>
        <v>6</v>
      </c>
      <c r="Q10" s="301">
        <f t="shared" si="1"/>
        <v>-20</v>
      </c>
      <c r="R10" s="346">
        <f t="shared" si="2"/>
        <v>-17</v>
      </c>
      <c r="S10" s="303">
        <f>IFERROR(VLOOKUP("과학", $C$27:$H$27, 6, FALSE), "0")+IFERROR(VLOOKUP("과학", $C$28:$H$28, 6, FALSE), "0")+IFERROR(VLOOKUP("과학", $C$29:$H$29, 6, FALSE), "0")+IFERROR(VLOOKUP("과학", $C$30:$H$30, 6, FALSE), "0")+IFERROR(VLOOKUP("과학", $C$31:$H$31, 6, FALSE), "0")+IFERROR(VLOOKUP("과학", $C$32:$H$32, 6, FALSE), "0")</f>
        <v>0</v>
      </c>
      <c r="T10" s="304">
        <f t="shared" si="3"/>
        <v>-37</v>
      </c>
      <c r="U10" s="305" t="str">
        <f>IF(AND(H10&gt;=W10,H10&lt;=X10),"○",IF(H10&lt;W10,"▽","△"))</f>
        <v>○</v>
      </c>
      <c r="V10" s="525">
        <v>374</v>
      </c>
      <c r="W10" s="306">
        <v>300</v>
      </c>
      <c r="X10" s="306">
        <v>448</v>
      </c>
      <c r="Y10" s="824">
        <v>136</v>
      </c>
      <c r="Z10" s="263"/>
      <c r="AA10" s="263"/>
      <c r="AB10" s="263"/>
      <c r="AC10" s="263"/>
      <c r="AF10" s="291" t="s">
        <v>101</v>
      </c>
    </row>
    <row r="11" spans="1:36" ht="18" customHeight="1" x14ac:dyDescent="0.3">
      <c r="A11" s="915"/>
      <c r="B11" s="804"/>
      <c r="C11" s="805"/>
      <c r="D11" s="827" t="s">
        <v>102</v>
      </c>
      <c r="E11" s="828"/>
      <c r="F11" s="819"/>
      <c r="G11" s="822"/>
      <c r="H11" s="347">
        <f>SUM(L11,M11,N11,O11,K11,J11,S11)</f>
        <v>270</v>
      </c>
      <c r="I11" s="348">
        <v>32</v>
      </c>
      <c r="J11" s="349">
        <v>32</v>
      </c>
      <c r="K11" s="350">
        <v>51</v>
      </c>
      <c r="L11" s="351">
        <v>51</v>
      </c>
      <c r="M11" s="352">
        <v>34</v>
      </c>
      <c r="N11" s="353">
        <v>51</v>
      </c>
      <c r="O11" s="354">
        <v>51</v>
      </c>
      <c r="P11" s="315">
        <f t="shared" si="0"/>
        <v>6</v>
      </c>
      <c r="Q11" s="316">
        <f t="shared" si="1"/>
        <v>-2</v>
      </c>
      <c r="R11" s="317">
        <f t="shared" si="2"/>
        <v>0</v>
      </c>
      <c r="S11" s="318">
        <f>IFERROR(VLOOKUP("기술·가정", $C$27:$H$27, 6, FALSE), "0")+IFERROR(VLOOKUP("기술·가정", $C$28:$H$28, 6, FALSE), "0")+IFERROR(VLOOKUP("기술·가정", $C$29:$H$29, 6, FALSE), "0")+IFERROR(VLOOKUP("기술·가정", $C$30:$H$30, 6, FALSE), "0")+IFERROR(VLOOKUP("기술·가정", $C$31:$H$31, 6, FALSE), "0")+IFERROR(VLOOKUP("기술·가정", $C$32:$H$32, 6, FALSE), "0")</f>
        <v>0</v>
      </c>
      <c r="T11" s="319">
        <f t="shared" si="3"/>
        <v>-2</v>
      </c>
      <c r="U11" s="305" t="str">
        <f>IF(AND(H11&gt;=W11,H11&lt;=X11),"○",IF(H11&lt;W11,"▽","△"))</f>
        <v>○</v>
      </c>
      <c r="V11" s="526">
        <v>272</v>
      </c>
      <c r="W11" s="320">
        <v>218</v>
      </c>
      <c r="X11" s="320">
        <v>326</v>
      </c>
      <c r="Y11" s="825"/>
      <c r="Z11" s="263"/>
      <c r="AA11" s="263"/>
      <c r="AB11" s="263"/>
      <c r="AC11" s="263"/>
      <c r="AF11" s="291" t="s">
        <v>102</v>
      </c>
    </row>
    <row r="12" spans="1:36" ht="18" customHeight="1" thickBot="1" x14ac:dyDescent="0.35">
      <c r="A12" s="915"/>
      <c r="B12" s="806"/>
      <c r="C12" s="807"/>
      <c r="D12" s="829" t="s">
        <v>37</v>
      </c>
      <c r="E12" s="830"/>
      <c r="F12" s="820"/>
      <c r="G12" s="823"/>
      <c r="H12" s="307">
        <f>SUM(L12,M12,N12,O12,K12,J12,S12)</f>
        <v>68</v>
      </c>
      <c r="I12" s="355">
        <v>17</v>
      </c>
      <c r="J12" s="356">
        <v>17</v>
      </c>
      <c r="K12" s="357">
        <v>17</v>
      </c>
      <c r="L12" s="358">
        <v>17</v>
      </c>
      <c r="M12" s="359">
        <v>17</v>
      </c>
      <c r="N12" s="360"/>
      <c r="O12" s="361"/>
      <c r="P12" s="329">
        <f t="shared" si="0"/>
        <v>4</v>
      </c>
      <c r="Q12" s="330">
        <f>SUM(I12,K12,L12,M12,N12,O12)-34</f>
        <v>34</v>
      </c>
      <c r="R12" s="362">
        <f t="shared" si="2"/>
        <v>0</v>
      </c>
      <c r="S12" s="332">
        <f>IFERROR(VLOOKUP("정보", $C$27:$H$27, 6, FALSE), "0")+IFERROR(VLOOKUP("정보", $C$28:$H$28, 6, FALSE), "0")+IFERROR(VLOOKUP("정보", $C$29:$H$29, 6, FALSE), "0")+IFERROR(VLOOKUP("정보", $C$30:$H$30, 6, FALSE), "0")+IFERROR(VLOOKUP("정보", $C$31:$H$31, 6, FALSE), "0")+IFERROR(VLOOKUP("정보", $C$32:$H$32, 6, FALSE), "0")</f>
        <v>0</v>
      </c>
      <c r="T12" s="333">
        <f t="shared" si="3"/>
        <v>34</v>
      </c>
      <c r="U12" s="363" t="str">
        <f>IF(AND(H12&gt;=W12,H12&lt;=X12),"○",IF(H12&lt;W12,"▽","△"))</f>
        <v>○</v>
      </c>
      <c r="V12" s="527">
        <v>68</v>
      </c>
      <c r="W12" s="334">
        <v>68</v>
      </c>
      <c r="X12" s="334">
        <v>81</v>
      </c>
      <c r="Y12" s="826"/>
      <c r="Z12" s="263"/>
      <c r="AA12" s="263"/>
      <c r="AB12" s="263"/>
      <c r="AC12" s="263"/>
      <c r="AF12" s="291" t="s">
        <v>103</v>
      </c>
    </row>
    <row r="13" spans="1:36" ht="18" customHeight="1" thickTop="1" x14ac:dyDescent="0.3">
      <c r="A13" s="915"/>
      <c r="B13" s="802" t="s">
        <v>27</v>
      </c>
      <c r="C13" s="803"/>
      <c r="D13" s="837" t="s">
        <v>27</v>
      </c>
      <c r="E13" s="838"/>
      <c r="F13" s="818">
        <v>272</v>
      </c>
      <c r="G13" s="839">
        <f>SUM(H13:H14)</f>
        <v>306</v>
      </c>
      <c r="H13" s="338">
        <f>SUM(L13,M13,N13,O13,K13,J13,S13)</f>
        <v>272</v>
      </c>
      <c r="I13" s="364">
        <v>51</v>
      </c>
      <c r="J13" s="365">
        <v>51</v>
      </c>
      <c r="K13" s="366">
        <v>51</v>
      </c>
      <c r="L13" s="367">
        <v>51</v>
      </c>
      <c r="M13" s="368">
        <v>51</v>
      </c>
      <c r="N13" s="369">
        <v>34</v>
      </c>
      <c r="O13" s="370">
        <v>34</v>
      </c>
      <c r="P13" s="371">
        <f t="shared" si="0"/>
        <v>6</v>
      </c>
      <c r="Q13" s="841">
        <f>SUM(I13:I14,K13:K14,L13:L14,M13:M14,N13:N14,O13:O14)-V13</f>
        <v>34</v>
      </c>
      <c r="R13" s="843">
        <f>J13+J14-I13-I14</f>
        <v>0</v>
      </c>
      <c r="S13" s="831">
        <f>IFERROR(VLOOKUP("체육", $C$27:$H$27, 6, FALSE), "0")+IFERROR(VLOOKUP("체육", $C$28:$H$28, 6, FALSE), "0")+IFERROR(VLOOKUP("체육", $C$29:$H$29, 6, FALSE), "0")+IFERROR(VLOOKUP("체육", $C$30:$H$30, 6, FALSE), "0")+IFERROR(VLOOKUP("체육", $C$31:$H$31, 6, FALSE), "0")+IFERROR(VLOOKUP("체육", $C$32:$H$32, 6, FALSE), "0")</f>
        <v>0</v>
      </c>
      <c r="T13" s="833">
        <f>SUM(Q13:S13)</f>
        <v>34</v>
      </c>
      <c r="U13" s="835" t="str">
        <f>IF(AND(G13&gt;=W13,G13&lt;=X13),"○",IF(G13&lt;W13,"▽","△"))</f>
        <v>○</v>
      </c>
      <c r="V13" s="845">
        <v>272</v>
      </c>
      <c r="W13" s="848">
        <v>272</v>
      </c>
      <c r="X13" s="848">
        <v>326</v>
      </c>
      <c r="Y13" s="824"/>
      <c r="Z13" s="263"/>
      <c r="AA13" s="263"/>
      <c r="AB13" s="263"/>
      <c r="AC13" s="263"/>
      <c r="AF13" s="291" t="s">
        <v>104</v>
      </c>
    </row>
    <row r="14" spans="1:36" ht="18" customHeight="1" thickBot="1" x14ac:dyDescent="0.35">
      <c r="A14" s="915"/>
      <c r="B14" s="806"/>
      <c r="C14" s="807"/>
      <c r="D14" s="853" t="s">
        <v>105</v>
      </c>
      <c r="E14" s="854"/>
      <c r="F14" s="820"/>
      <c r="G14" s="840"/>
      <c r="H14" s="307">
        <f>SUM(L14,M14,N14,O14,K14,J14)</f>
        <v>34</v>
      </c>
      <c r="I14" s="355"/>
      <c r="J14" s="356"/>
      <c r="K14" s="357"/>
      <c r="L14" s="358"/>
      <c r="M14" s="359"/>
      <c r="N14" s="360">
        <v>17</v>
      </c>
      <c r="O14" s="361">
        <v>17</v>
      </c>
      <c r="P14" s="329">
        <f t="shared" si="0"/>
        <v>2</v>
      </c>
      <c r="Q14" s="842"/>
      <c r="R14" s="844"/>
      <c r="S14" s="832"/>
      <c r="T14" s="834"/>
      <c r="U14" s="836"/>
      <c r="V14" s="847"/>
      <c r="W14" s="850"/>
      <c r="X14" s="850"/>
      <c r="Y14" s="826"/>
      <c r="Z14" s="263"/>
      <c r="AA14" s="263"/>
      <c r="AB14" s="263"/>
      <c r="AC14" s="263"/>
      <c r="AF14" s="291" t="s">
        <v>106</v>
      </c>
    </row>
    <row r="15" spans="1:36" ht="18" customHeight="1" thickTop="1" x14ac:dyDescent="0.3">
      <c r="A15" s="915"/>
      <c r="B15" s="802" t="s">
        <v>13</v>
      </c>
      <c r="C15" s="803"/>
      <c r="D15" s="808" t="s">
        <v>39</v>
      </c>
      <c r="E15" s="809"/>
      <c r="F15" s="818">
        <v>272</v>
      </c>
      <c r="G15" s="821">
        <f>SUM(H15:H16)</f>
        <v>272</v>
      </c>
      <c r="H15" s="372">
        <f>SUM(L15,M15,N15,O15,K15,J15,S15)</f>
        <v>136</v>
      </c>
      <c r="I15" s="339">
        <v>17</v>
      </c>
      <c r="J15" s="340">
        <v>17</v>
      </c>
      <c r="K15" s="341">
        <v>17</v>
      </c>
      <c r="L15" s="342">
        <v>17</v>
      </c>
      <c r="M15" s="343">
        <v>17</v>
      </c>
      <c r="N15" s="344">
        <v>34</v>
      </c>
      <c r="O15" s="345">
        <v>34</v>
      </c>
      <c r="P15" s="373">
        <f t="shared" si="0"/>
        <v>6</v>
      </c>
      <c r="Q15" s="374">
        <f>SUM(I15,K15,L15,M15,N15,O15)-V15</f>
        <v>0</v>
      </c>
      <c r="R15" s="375">
        <f t="shared" si="2"/>
        <v>0</v>
      </c>
      <c r="S15" s="376">
        <f>IFERROR(VLOOKUP("음악", $C$27:$H$27, 6, FALSE), "0")+IFERROR(VLOOKUP("음악", $C$28:$H$28, 6, FALSE), "0")+IFERROR(VLOOKUP("음악", $C$29:$H$29, 6, FALSE), "0")+IFERROR(VLOOKUP("음악", $C$30:$H$30, 6, FALSE), "0")+IFERROR(VLOOKUP("음악", $C$31:$H$31, 6, FALSE), "0")+IFERROR(VLOOKUP("음악", $C$32:$H$32, 6, FALSE), "0")</f>
        <v>0</v>
      </c>
      <c r="T15" s="304">
        <f t="shared" si="3"/>
        <v>0</v>
      </c>
      <c r="U15" s="377" t="str">
        <f>IF(AND(H15&gt;=W15,H15&lt;=X15),"○",IF(H15&lt;W15,"▽","△"))</f>
        <v>○</v>
      </c>
      <c r="V15" s="528">
        <v>136</v>
      </c>
      <c r="W15" s="378">
        <v>136</v>
      </c>
      <c r="X15" s="378">
        <v>163</v>
      </c>
      <c r="Y15" s="379"/>
      <c r="Z15" s="263"/>
      <c r="AA15" s="263"/>
      <c r="AB15" s="263"/>
      <c r="AC15" s="263"/>
      <c r="AF15" s="291" t="s">
        <v>107</v>
      </c>
    </row>
    <row r="16" spans="1:36" ht="18" customHeight="1" thickBot="1" x14ac:dyDescent="0.35">
      <c r="A16" s="915"/>
      <c r="B16" s="806"/>
      <c r="C16" s="807"/>
      <c r="D16" s="829" t="s">
        <v>32</v>
      </c>
      <c r="E16" s="830"/>
      <c r="F16" s="820"/>
      <c r="G16" s="823"/>
      <c r="H16" s="380">
        <f>SUM(L16,M16,N16,O16,K16,J16,S16)</f>
        <v>136</v>
      </c>
      <c r="I16" s="355">
        <v>17</v>
      </c>
      <c r="J16" s="356">
        <v>17</v>
      </c>
      <c r="K16" s="357">
        <v>17</v>
      </c>
      <c r="L16" s="358">
        <v>34</v>
      </c>
      <c r="M16" s="359">
        <v>34</v>
      </c>
      <c r="N16" s="360">
        <v>17</v>
      </c>
      <c r="O16" s="361">
        <v>17</v>
      </c>
      <c r="P16" s="329">
        <f t="shared" si="0"/>
        <v>6</v>
      </c>
      <c r="Q16" s="381">
        <f>SUM(I16,K16,L16,M16,N16,O16)-V16</f>
        <v>0</v>
      </c>
      <c r="R16" s="362">
        <f t="shared" si="2"/>
        <v>0</v>
      </c>
      <c r="S16" s="332">
        <f>IFERROR(VLOOKUP("미술", $C$27:$H$27, 6, FALSE), "0")+IFERROR(VLOOKUP("미술", $C$28:$H$28, 6, FALSE), "0")+IFERROR(VLOOKUP("미술", $C$29:$H$29, 6, FALSE), "0")+IFERROR(VLOOKUP("미술", $C$30:$H$30, 6, FALSE), "0")+IFERROR(VLOOKUP("미술", $C$31:$H$31, 6, FALSE), "0")+IFERROR(VLOOKUP("미술", $C$32:$H$32, 6, FALSE), "0")</f>
        <v>0</v>
      </c>
      <c r="T16" s="382">
        <f t="shared" si="3"/>
        <v>0</v>
      </c>
      <c r="U16" s="305" t="str">
        <f>IF(AND(H16&gt;=W16,H16&lt;=X16),"○",IF(H16&lt;W16,"▽","△"))</f>
        <v>○</v>
      </c>
      <c r="V16" s="527">
        <v>136</v>
      </c>
      <c r="W16" s="334">
        <v>136</v>
      </c>
      <c r="X16" s="334">
        <v>163</v>
      </c>
      <c r="Y16" s="383"/>
      <c r="Z16" s="263"/>
      <c r="AA16" s="263"/>
      <c r="AB16" s="263"/>
      <c r="AC16" s="263"/>
      <c r="AF16" s="291" t="s">
        <v>108</v>
      </c>
    </row>
    <row r="17" spans="1:34" ht="18" customHeight="1" thickTop="1" thickBot="1" x14ac:dyDescent="0.35">
      <c r="A17" s="915"/>
      <c r="B17" s="797" t="s">
        <v>28</v>
      </c>
      <c r="C17" s="798"/>
      <c r="D17" s="798"/>
      <c r="E17" s="799"/>
      <c r="F17" s="275">
        <v>340</v>
      </c>
      <c r="G17" s="800">
        <f>SUM(J17,K17,L17,M17,N17,O17,S17)</f>
        <v>302</v>
      </c>
      <c r="H17" s="801"/>
      <c r="I17" s="276">
        <v>64</v>
      </c>
      <c r="J17" s="277">
        <v>47</v>
      </c>
      <c r="K17" s="278">
        <v>51</v>
      </c>
      <c r="L17" s="279">
        <v>51</v>
      </c>
      <c r="M17" s="280">
        <v>51</v>
      </c>
      <c r="N17" s="335">
        <v>51</v>
      </c>
      <c r="O17" s="282">
        <v>51</v>
      </c>
      <c r="P17" s="283">
        <f t="shared" si="0"/>
        <v>6</v>
      </c>
      <c r="Q17" s="284">
        <f>SUM(I17,K17,L17,M17,N17,O17)-V17</f>
        <v>-21</v>
      </c>
      <c r="R17" s="285">
        <f t="shared" si="2"/>
        <v>-17</v>
      </c>
      <c r="S17" s="286">
        <f>IFERROR(VLOOKUP("영어", $C$27:$H$27, 6, FALSE), "0")+IFERROR(VLOOKUP("영어", $C$28:$H$28, 6, FALSE), "0")+IFERROR(VLOOKUP("영어", $C$29:$H$29, 6, FALSE), "0")+IFERROR(VLOOKUP("영어", $C$30:$H$30, 6, FALSE), "0")+IFERROR(VLOOKUP("영어", $C$31:$H$31, 6, FALSE), "0")+IFERROR(VLOOKUP("영어", $C$32:$H$32, 6, FALSE), "0")</f>
        <v>0</v>
      </c>
      <c r="T17" s="287">
        <f t="shared" si="3"/>
        <v>-38</v>
      </c>
      <c r="U17" s="288" t="str">
        <f>IF(AND(G17&gt;=W17,G17&lt;=X17),"○",IF(G17&lt;W17,"▽","△"))</f>
        <v>○</v>
      </c>
      <c r="V17" s="524">
        <v>340</v>
      </c>
      <c r="W17" s="336">
        <v>272</v>
      </c>
      <c r="X17" s="336">
        <v>408</v>
      </c>
      <c r="Y17" s="337">
        <v>68</v>
      </c>
      <c r="Z17" s="263"/>
      <c r="AA17" s="263"/>
      <c r="AB17" s="263"/>
      <c r="AC17" s="263"/>
      <c r="AF17" s="291" t="s">
        <v>35</v>
      </c>
    </row>
    <row r="18" spans="1:34" ht="18" customHeight="1" thickTop="1" x14ac:dyDescent="0.3">
      <c r="A18" s="915"/>
      <c r="B18" s="802" t="s">
        <v>23</v>
      </c>
      <c r="C18" s="803"/>
      <c r="D18" s="808" t="s">
        <v>35</v>
      </c>
      <c r="E18" s="809"/>
      <c r="F18" s="818">
        <v>170</v>
      </c>
      <c r="G18" s="839">
        <f>SUM(H18:H26)</f>
        <v>187</v>
      </c>
      <c r="H18" s="338">
        <f t="shared" ref="H18:H25" si="4">SUM(L18,M18,N18,O18,K18,J18,S18)</f>
        <v>0</v>
      </c>
      <c r="I18" s="339"/>
      <c r="J18" s="340"/>
      <c r="K18" s="341"/>
      <c r="L18" s="342"/>
      <c r="M18" s="343"/>
      <c r="N18" s="344"/>
      <c r="O18" s="345"/>
      <c r="P18" s="300">
        <f t="shared" si="0"/>
        <v>0</v>
      </c>
      <c r="Q18" s="841">
        <f>SUM(I18:I26,K18:K26,L18:O26)-V18</f>
        <v>-17</v>
      </c>
      <c r="R18" s="302">
        <f t="shared" si="2"/>
        <v>0</v>
      </c>
      <c r="S18" s="384">
        <f>IFERROR(VLOOKUP("한문", $C$27:$H$27, 6, FALSE), "0")+IFERROR(VLOOKUP("한문", $C$28:$H$28, 6, FALSE), "0")+IFERROR(VLOOKUP("한문", $C$29:$H$29, 6, FALSE), "0")+IFERROR(VLOOKUP("한문", $C$30:$H$30, 6, FALSE), "0")+IFERROR(VLOOKUP("한문", $C$31:$H$31, 6, FALSE), "0")+IFERROR(VLOOKUP("한문", $C$32:$H$32, 6, FALSE), "0")</f>
        <v>0</v>
      </c>
      <c r="T18" s="871">
        <f>SUM(Q18:S26)</f>
        <v>17</v>
      </c>
      <c r="U18" s="835" t="str">
        <f>IF(AND(G18&gt;=W18,G18&lt;=X18),"○",IF(G18&lt;W18,"▽","△"))</f>
        <v>○</v>
      </c>
      <c r="V18" s="845">
        <v>170</v>
      </c>
      <c r="W18" s="848">
        <v>136</v>
      </c>
      <c r="X18" s="848">
        <v>204</v>
      </c>
      <c r="Y18" s="824">
        <v>34</v>
      </c>
      <c r="Z18" s="263"/>
      <c r="AA18" s="263"/>
      <c r="AB18" s="263"/>
      <c r="AC18" s="263"/>
      <c r="AF18" s="385" t="s">
        <v>53</v>
      </c>
    </row>
    <row r="19" spans="1:34" ht="18" customHeight="1" x14ac:dyDescent="0.3">
      <c r="A19" s="915"/>
      <c r="B19" s="804"/>
      <c r="C19" s="805"/>
      <c r="D19" s="827" t="s">
        <v>53</v>
      </c>
      <c r="E19" s="828"/>
      <c r="F19" s="819"/>
      <c r="G19" s="855"/>
      <c r="H19" s="347">
        <f t="shared" si="4"/>
        <v>0</v>
      </c>
      <c r="I19" s="348"/>
      <c r="J19" s="349"/>
      <c r="K19" s="350"/>
      <c r="L19" s="351"/>
      <c r="M19" s="352"/>
      <c r="N19" s="353"/>
      <c r="O19" s="354"/>
      <c r="P19" s="315">
        <f t="shared" si="0"/>
        <v>0</v>
      </c>
      <c r="Q19" s="870"/>
      <c r="R19" s="317">
        <f t="shared" si="2"/>
        <v>0</v>
      </c>
      <c r="S19" s="386">
        <f>IFERROR(VLOOKUP("생활 외국어", $C$27:$H$27, 6, FALSE), "0")+IFERROR(VLOOKUP("생활 외국어", $C$28:$H$28, 6, FALSE), "0")+IFERROR(VLOOKUP("생활 외국어", $C$29:$H$29, 6, FALSE), "0")+IFERROR(VLOOKUP("생활 외국어", $C$30:$H$30, 6, FALSE), "0")+IFERROR(VLOOKUP("생활 외국어", $C$31:$H$31, 6, FALSE), "0")+IFERROR(VLOOKUP("생활 외국어", $C$32:$H$32, 6, FALSE), "0")</f>
        <v>0</v>
      </c>
      <c r="T19" s="872"/>
      <c r="U19" s="874"/>
      <c r="V19" s="846"/>
      <c r="W19" s="849"/>
      <c r="X19" s="849"/>
      <c r="Y19" s="825"/>
      <c r="Z19" s="263"/>
      <c r="AA19" s="263"/>
      <c r="AB19" s="263"/>
      <c r="AC19" s="263"/>
      <c r="AF19" s="385" t="s">
        <v>24</v>
      </c>
    </row>
    <row r="20" spans="1:34" ht="18" customHeight="1" x14ac:dyDescent="0.3">
      <c r="A20" s="915"/>
      <c r="B20" s="804"/>
      <c r="C20" s="805"/>
      <c r="D20" s="827" t="s">
        <v>24</v>
      </c>
      <c r="E20" s="828"/>
      <c r="F20" s="819"/>
      <c r="G20" s="855"/>
      <c r="H20" s="347">
        <f t="shared" si="4"/>
        <v>17</v>
      </c>
      <c r="I20" s="348"/>
      <c r="J20" s="349"/>
      <c r="K20" s="350">
        <v>17</v>
      </c>
      <c r="L20" s="351"/>
      <c r="M20" s="352"/>
      <c r="N20" s="353"/>
      <c r="O20" s="354"/>
      <c r="P20" s="315">
        <f t="shared" si="0"/>
        <v>1</v>
      </c>
      <c r="Q20" s="870"/>
      <c r="R20" s="317">
        <f t="shared" si="2"/>
        <v>0</v>
      </c>
      <c r="S20" s="386">
        <f>IFERROR(VLOOKUP("보건", $C$27:$H$27, 6, FALSE), "0")+IFERROR(VLOOKUP("보건", $C$28:$H$28, 6, FALSE), "0")+IFERROR(VLOOKUP("보건", $C$29:$H$29, 6, FALSE), "0")+IFERROR(VLOOKUP("보건", $C$30:$H$30, 6, FALSE), "0")+IFERROR(VLOOKUP("보건", $C$31:$H$31, 6, FALSE), "0")+IFERROR(VLOOKUP("보건", $C$32:$H$32, 6, FALSE), "0")</f>
        <v>0</v>
      </c>
      <c r="T20" s="872"/>
      <c r="U20" s="874"/>
      <c r="V20" s="846"/>
      <c r="W20" s="849"/>
      <c r="X20" s="849"/>
      <c r="Y20" s="825"/>
      <c r="Z20" s="263"/>
      <c r="AA20" s="263"/>
      <c r="AB20" s="263"/>
      <c r="AC20" s="263"/>
      <c r="AF20" s="385" t="s">
        <v>51</v>
      </c>
    </row>
    <row r="21" spans="1:34" ht="18" customHeight="1" x14ac:dyDescent="0.3">
      <c r="A21" s="915"/>
      <c r="B21" s="804"/>
      <c r="C21" s="805"/>
      <c r="D21" s="827" t="s">
        <v>51</v>
      </c>
      <c r="E21" s="828"/>
      <c r="F21" s="819"/>
      <c r="G21" s="855"/>
      <c r="H21" s="347">
        <f t="shared" si="4"/>
        <v>68</v>
      </c>
      <c r="I21" s="387"/>
      <c r="J21" s="388"/>
      <c r="K21" s="389">
        <v>17</v>
      </c>
      <c r="L21" s="390"/>
      <c r="M21" s="391"/>
      <c r="N21" s="392">
        <v>34</v>
      </c>
      <c r="O21" s="393">
        <v>17</v>
      </c>
      <c r="P21" s="315">
        <f t="shared" si="0"/>
        <v>3</v>
      </c>
      <c r="Q21" s="870"/>
      <c r="R21" s="317">
        <f t="shared" si="2"/>
        <v>0</v>
      </c>
      <c r="S21" s="386">
        <f>IFERROR(VLOOKUP("진로와 직업", $C$27:$H$27, 6, FALSE), "0")+IFERROR(VLOOKUP("진로와 직업", $C$28:$H$28, 6, FALSE), "0")+IFERROR(VLOOKUP("진로와 직업", $C$29:$H$29, 6, FALSE), "0")+IFERROR(VLOOKUP("진로와 직업", $C$30:$H$30, 6, FALSE), "0")+IFERROR(VLOOKUP("진로와 직업", $C$31:$H$31, 6, FALSE), "0")+IFERROR(VLOOKUP("진로와 직업", $C$32:$H$32, 6, FALSE), "0")</f>
        <v>0</v>
      </c>
      <c r="T21" s="872"/>
      <c r="U21" s="874"/>
      <c r="V21" s="846"/>
      <c r="W21" s="849"/>
      <c r="X21" s="849"/>
      <c r="Y21" s="825"/>
      <c r="Z21" s="263"/>
      <c r="AA21" s="263"/>
      <c r="AB21" s="263"/>
      <c r="AC21" s="263"/>
      <c r="AF21" s="385" t="s">
        <v>41</v>
      </c>
    </row>
    <row r="22" spans="1:34" ht="18" customHeight="1" x14ac:dyDescent="0.3">
      <c r="A22" s="915"/>
      <c r="B22" s="804"/>
      <c r="C22" s="805"/>
      <c r="D22" s="827" t="s">
        <v>41</v>
      </c>
      <c r="E22" s="828"/>
      <c r="F22" s="819"/>
      <c r="G22" s="855"/>
      <c r="H22" s="347">
        <f t="shared" si="4"/>
        <v>68</v>
      </c>
      <c r="I22" s="348"/>
      <c r="J22" s="349"/>
      <c r="K22" s="350"/>
      <c r="L22" s="351">
        <v>34</v>
      </c>
      <c r="M22" s="352">
        <v>34</v>
      </c>
      <c r="N22" s="353"/>
      <c r="O22" s="354"/>
      <c r="P22" s="315">
        <f t="shared" si="0"/>
        <v>2</v>
      </c>
      <c r="Q22" s="870"/>
      <c r="R22" s="317">
        <f t="shared" si="2"/>
        <v>0</v>
      </c>
      <c r="S22" s="394">
        <f>IFERROR(VLOOKUP("환경", $C$27:$H$27, 6, FALSE), "0")+IFERROR(VLOOKUP("환경", $C$28:$H$28, 6, FALSE), "0")+IFERROR(VLOOKUP("환경", $C$29:$H$29, 6, FALSE), "0")+IFERROR(VLOOKUP("환경", $C$30:$H$30, 6, FALSE), "0")+IFERROR(VLOOKUP("환경", $C$31:$H$31, 6, FALSE), "0")+IFERROR(VLOOKUP("환경", $C$32:$H$32, 6, FALSE), "0")</f>
        <v>0</v>
      </c>
      <c r="T22" s="872"/>
      <c r="U22" s="874"/>
      <c r="V22" s="846"/>
      <c r="W22" s="849"/>
      <c r="X22" s="849"/>
      <c r="Y22" s="825"/>
      <c r="Z22" s="263"/>
      <c r="AA22" s="263"/>
      <c r="AB22" s="263"/>
      <c r="AC22" s="263"/>
      <c r="AF22" s="395" t="s">
        <v>109</v>
      </c>
    </row>
    <row r="23" spans="1:34" ht="18" customHeight="1" x14ac:dyDescent="0.3">
      <c r="A23" s="915"/>
      <c r="B23" s="804"/>
      <c r="C23" s="805"/>
      <c r="D23" s="864" t="s">
        <v>110</v>
      </c>
      <c r="E23" s="865"/>
      <c r="F23" s="819"/>
      <c r="G23" s="855"/>
      <c r="H23" s="347">
        <f t="shared" si="4"/>
        <v>34</v>
      </c>
      <c r="I23" s="387"/>
      <c r="J23" s="388"/>
      <c r="K23" s="389"/>
      <c r="L23" s="390"/>
      <c r="M23" s="391"/>
      <c r="N23" s="392"/>
      <c r="O23" s="393"/>
      <c r="P23" s="315">
        <f t="shared" si="0"/>
        <v>0</v>
      </c>
      <c r="Q23" s="870"/>
      <c r="R23" s="317">
        <f t="shared" si="2"/>
        <v>0</v>
      </c>
      <c r="S23" s="386">
        <f>IFERROR(VLOOKUP("기타", $C$27:$H$27, 6, FALSE), "0")+IFERROR(VLOOKUP("기타", $C$28:$H$28, 6, FALSE), "0")+IFERROR(VLOOKUP("기타", $C$29:$H$29, 6, FALSE), "0")+IFERROR(VLOOKUP("기타", $C$30:$H$30, 6, FALSE), "0")+IFERROR(VLOOKUP("기타", $C$31:$H$31, 6, FALSE), "0")+IFERROR(VLOOKUP("기타", $C$32:$H$32, 6, FALSE), "0")</f>
        <v>34</v>
      </c>
      <c r="T23" s="872"/>
      <c r="U23" s="874"/>
      <c r="V23" s="846"/>
      <c r="W23" s="849"/>
      <c r="X23" s="849"/>
      <c r="Y23" s="825"/>
      <c r="Z23" s="396"/>
      <c r="AA23" s="396"/>
      <c r="AB23" s="396"/>
      <c r="AC23" s="396"/>
      <c r="AD23" s="396"/>
      <c r="AE23" s="396"/>
      <c r="AG23" s="396"/>
      <c r="AH23" s="396"/>
    </row>
    <row r="24" spans="1:34" ht="18" customHeight="1" x14ac:dyDescent="0.3">
      <c r="A24" s="915"/>
      <c r="B24" s="804"/>
      <c r="C24" s="805"/>
      <c r="D24" s="866"/>
      <c r="E24" s="867"/>
      <c r="F24" s="819"/>
      <c r="G24" s="855"/>
      <c r="H24" s="347">
        <f t="shared" si="4"/>
        <v>0</v>
      </c>
      <c r="I24" s="387"/>
      <c r="J24" s="388"/>
      <c r="K24" s="389"/>
      <c r="L24" s="390"/>
      <c r="M24" s="391"/>
      <c r="N24" s="392"/>
      <c r="O24" s="393"/>
      <c r="P24" s="315">
        <f t="shared" si="0"/>
        <v>0</v>
      </c>
      <c r="Q24" s="870"/>
      <c r="R24" s="317">
        <f t="shared" si="2"/>
        <v>0</v>
      </c>
      <c r="S24" s="386"/>
      <c r="T24" s="872"/>
      <c r="U24" s="874"/>
      <c r="V24" s="846"/>
      <c r="W24" s="849"/>
      <c r="X24" s="849"/>
      <c r="Y24" s="825"/>
      <c r="Z24" s="396"/>
      <c r="AA24" s="396"/>
      <c r="AB24" s="396"/>
      <c r="AC24" s="396"/>
      <c r="AD24" s="396"/>
      <c r="AE24" s="396"/>
      <c r="AF24" s="396"/>
      <c r="AG24" s="396"/>
      <c r="AH24" s="396"/>
    </row>
    <row r="25" spans="1:34" ht="18" customHeight="1" x14ac:dyDescent="0.3">
      <c r="A25" s="915"/>
      <c r="B25" s="804"/>
      <c r="C25" s="805"/>
      <c r="D25" s="866"/>
      <c r="E25" s="867"/>
      <c r="F25" s="819"/>
      <c r="G25" s="855"/>
      <c r="H25" s="347">
        <f t="shared" si="4"/>
        <v>0</v>
      </c>
      <c r="I25" s="387"/>
      <c r="J25" s="388"/>
      <c r="K25" s="389"/>
      <c r="L25" s="390"/>
      <c r="M25" s="391"/>
      <c r="N25" s="392"/>
      <c r="O25" s="393"/>
      <c r="P25" s="315">
        <f t="shared" si="0"/>
        <v>0</v>
      </c>
      <c r="Q25" s="870"/>
      <c r="R25" s="317">
        <f t="shared" si="2"/>
        <v>0</v>
      </c>
      <c r="S25" s="394"/>
      <c r="T25" s="872"/>
      <c r="U25" s="874"/>
      <c r="V25" s="846"/>
      <c r="W25" s="849"/>
      <c r="X25" s="849"/>
      <c r="Y25" s="825"/>
      <c r="Z25" s="396"/>
      <c r="AA25" s="396"/>
      <c r="AB25" s="396"/>
      <c r="AC25" s="396"/>
      <c r="AD25" s="396"/>
      <c r="AE25" s="396"/>
      <c r="AF25" s="396"/>
      <c r="AG25" s="396"/>
      <c r="AH25" s="396"/>
    </row>
    <row r="26" spans="1:34" ht="18" customHeight="1" thickBot="1" x14ac:dyDescent="0.35">
      <c r="A26" s="915"/>
      <c r="B26" s="806"/>
      <c r="C26" s="807"/>
      <c r="D26" s="868"/>
      <c r="E26" s="869"/>
      <c r="F26" s="820"/>
      <c r="G26" s="840"/>
      <c r="H26" s="397">
        <f t="shared" ref="H26:H32" si="5">SUM(L26,M26,N26,O26,K26,J26)</f>
        <v>0</v>
      </c>
      <c r="I26" s="355"/>
      <c r="J26" s="356"/>
      <c r="K26" s="357"/>
      <c r="L26" s="358"/>
      <c r="M26" s="359"/>
      <c r="N26" s="360"/>
      <c r="O26" s="361"/>
      <c r="P26" s="315">
        <f t="shared" si="0"/>
        <v>0</v>
      </c>
      <c r="Q26" s="842"/>
      <c r="R26" s="331">
        <f t="shared" si="2"/>
        <v>0</v>
      </c>
      <c r="S26" s="398"/>
      <c r="T26" s="873"/>
      <c r="U26" s="836"/>
      <c r="V26" s="847"/>
      <c r="W26" s="850"/>
      <c r="X26" s="850"/>
      <c r="Y26" s="826"/>
      <c r="Z26" s="396"/>
      <c r="AA26" s="396"/>
      <c r="AB26" s="396"/>
      <c r="AC26" s="396"/>
      <c r="AD26" s="396"/>
      <c r="AE26" s="396"/>
      <c r="AF26" s="396"/>
      <c r="AG26" s="396"/>
      <c r="AH26" s="396"/>
    </row>
    <row r="27" spans="1:34" ht="18" customHeight="1" thickTop="1" x14ac:dyDescent="0.3">
      <c r="A27" s="915"/>
      <c r="B27" s="856" t="s">
        <v>111</v>
      </c>
      <c r="C27" s="399" t="s">
        <v>109</v>
      </c>
      <c r="D27" s="859" t="s">
        <v>130</v>
      </c>
      <c r="E27" s="860"/>
      <c r="F27" s="861">
        <v>33</v>
      </c>
      <c r="G27" s="888">
        <f>SUM(H27:H32)</f>
        <v>34</v>
      </c>
      <c r="H27" s="400">
        <f t="shared" si="5"/>
        <v>34</v>
      </c>
      <c r="I27" s="401">
        <v>34</v>
      </c>
      <c r="J27" s="402">
        <v>34</v>
      </c>
      <c r="K27" s="403"/>
      <c r="L27" s="404"/>
      <c r="M27" s="405"/>
      <c r="N27" s="406"/>
      <c r="O27" s="407"/>
      <c r="P27" s="408">
        <f>IF(ISBLANK(J27),0,1)+IF(ISBLANK(K27),0,1)+IF(ISBLANK(L27),0,1)+IF(ISBLANK(M27),0,1)+IF(ISBLANK(N27),0,1)+IF(ISBLANK(O27),0,1)</f>
        <v>1</v>
      </c>
      <c r="Q27" s="891"/>
      <c r="R27" s="877"/>
      <c r="S27" s="877"/>
      <c r="T27" s="880"/>
      <c r="U27" s="835" t="str">
        <f>IF(AND(G27&gt;=V27,G27&lt;=V27),"○",IF(G27&lt;V27,"▽","○"))</f>
        <v>○</v>
      </c>
      <c r="V27" s="845">
        <v>33</v>
      </c>
      <c r="W27" s="848"/>
      <c r="X27" s="848"/>
      <c r="Y27" s="824"/>
      <c r="Z27" s="409"/>
      <c r="AA27" s="409"/>
      <c r="AB27" s="409"/>
      <c r="AC27" s="409"/>
      <c r="AD27" s="409"/>
      <c r="AE27" s="409"/>
      <c r="AF27" s="409"/>
      <c r="AG27" s="409"/>
      <c r="AH27" s="409"/>
    </row>
    <row r="28" spans="1:34" ht="18" customHeight="1" x14ac:dyDescent="0.3">
      <c r="A28" s="915"/>
      <c r="B28" s="857"/>
      <c r="C28" s="410"/>
      <c r="D28" s="851"/>
      <c r="E28" s="852"/>
      <c r="F28" s="862"/>
      <c r="G28" s="889"/>
      <c r="H28" s="411">
        <f t="shared" si="5"/>
        <v>0</v>
      </c>
      <c r="I28" s="412"/>
      <c r="J28" s="413"/>
      <c r="K28" s="414"/>
      <c r="L28" s="415"/>
      <c r="M28" s="416"/>
      <c r="N28" s="417"/>
      <c r="O28" s="418"/>
      <c r="P28" s="419">
        <f>IF(ISBLANK(J28),0,1)+IF(ISBLANK(K28),0,1)+IF(ISBLANK(L28),0,1)+IF(ISBLANK(M28),0,1)+IF(ISBLANK(N28),0,1)+IF(ISBLANK(O28),0,1)</f>
        <v>0</v>
      </c>
      <c r="Q28" s="892"/>
      <c r="R28" s="878"/>
      <c r="S28" s="878"/>
      <c r="T28" s="881"/>
      <c r="U28" s="874"/>
      <c r="V28" s="846"/>
      <c r="W28" s="849"/>
      <c r="X28" s="849"/>
      <c r="Y28" s="825"/>
      <c r="Z28" s="409"/>
      <c r="AA28" s="409"/>
      <c r="AB28" s="409"/>
      <c r="AC28" s="409"/>
      <c r="AD28" s="409"/>
      <c r="AE28" s="409"/>
      <c r="AF28" s="409"/>
      <c r="AG28" s="409"/>
      <c r="AH28" s="409"/>
    </row>
    <row r="29" spans="1:34" ht="18" customHeight="1" x14ac:dyDescent="0.3">
      <c r="A29" s="915"/>
      <c r="B29" s="857"/>
      <c r="C29" s="410"/>
      <c r="D29" s="851"/>
      <c r="E29" s="852"/>
      <c r="F29" s="862"/>
      <c r="G29" s="889"/>
      <c r="H29" s="411">
        <f t="shared" si="5"/>
        <v>0</v>
      </c>
      <c r="I29" s="412"/>
      <c r="J29" s="413"/>
      <c r="K29" s="414"/>
      <c r="L29" s="415"/>
      <c r="M29" s="416"/>
      <c r="N29" s="417"/>
      <c r="O29" s="418"/>
      <c r="P29" s="419">
        <f t="shared" ref="P29:P32" si="6">IF(ISBLANK(J29),0,1)+IF(ISBLANK(K29),0,1)+IF(ISBLANK(L29),0,1)+IF(ISBLANK(M29),0,1)+IF(ISBLANK(N29),0,1)+IF(ISBLANK(O29),0,1)</f>
        <v>0</v>
      </c>
      <c r="Q29" s="892"/>
      <c r="R29" s="878"/>
      <c r="S29" s="878"/>
      <c r="T29" s="881"/>
      <c r="U29" s="874"/>
      <c r="V29" s="846"/>
      <c r="W29" s="849"/>
      <c r="X29" s="849"/>
      <c r="Y29" s="825"/>
      <c r="Z29" s="409"/>
      <c r="AA29" s="409"/>
      <c r="AB29" s="409"/>
      <c r="AC29" s="409"/>
      <c r="AD29" s="409"/>
      <c r="AE29" s="409"/>
      <c r="AF29" s="409"/>
      <c r="AG29" s="409"/>
      <c r="AH29" s="409"/>
    </row>
    <row r="30" spans="1:34" ht="18" customHeight="1" x14ac:dyDescent="0.3">
      <c r="A30" s="915"/>
      <c r="B30" s="857"/>
      <c r="C30" s="410"/>
      <c r="D30" s="851"/>
      <c r="E30" s="852"/>
      <c r="F30" s="862"/>
      <c r="G30" s="889"/>
      <c r="H30" s="411">
        <f t="shared" si="5"/>
        <v>0</v>
      </c>
      <c r="I30" s="412"/>
      <c r="J30" s="413"/>
      <c r="K30" s="414"/>
      <c r="L30" s="415"/>
      <c r="M30" s="416"/>
      <c r="N30" s="417"/>
      <c r="O30" s="418"/>
      <c r="P30" s="419">
        <f t="shared" si="6"/>
        <v>0</v>
      </c>
      <c r="Q30" s="892"/>
      <c r="R30" s="878"/>
      <c r="S30" s="878"/>
      <c r="T30" s="881"/>
      <c r="U30" s="874"/>
      <c r="V30" s="846"/>
      <c r="W30" s="849"/>
      <c r="X30" s="849"/>
      <c r="Y30" s="825"/>
      <c r="Z30" s="409"/>
      <c r="AA30" s="409"/>
      <c r="AB30" s="409"/>
      <c r="AC30" s="409"/>
      <c r="AD30" s="409"/>
      <c r="AE30" s="409"/>
      <c r="AF30" s="409"/>
      <c r="AG30" s="409"/>
      <c r="AH30" s="409"/>
    </row>
    <row r="31" spans="1:34" ht="18" customHeight="1" x14ac:dyDescent="0.3">
      <c r="A31" s="915"/>
      <c r="B31" s="857"/>
      <c r="C31" s="410"/>
      <c r="D31" s="851"/>
      <c r="E31" s="852"/>
      <c r="F31" s="862"/>
      <c r="G31" s="889"/>
      <c r="H31" s="411">
        <f t="shared" si="5"/>
        <v>0</v>
      </c>
      <c r="I31" s="412"/>
      <c r="J31" s="413"/>
      <c r="K31" s="414"/>
      <c r="L31" s="415"/>
      <c r="M31" s="416"/>
      <c r="N31" s="417"/>
      <c r="O31" s="418"/>
      <c r="P31" s="419">
        <f t="shared" si="6"/>
        <v>0</v>
      </c>
      <c r="Q31" s="892"/>
      <c r="R31" s="878"/>
      <c r="S31" s="878"/>
      <c r="T31" s="881"/>
      <c r="U31" s="874"/>
      <c r="V31" s="846"/>
      <c r="W31" s="849"/>
      <c r="X31" s="849"/>
      <c r="Y31" s="825"/>
      <c r="Z31" s="409"/>
      <c r="AA31" s="409"/>
      <c r="AB31" s="409"/>
      <c r="AC31" s="409"/>
      <c r="AD31" s="409"/>
      <c r="AE31" s="409"/>
      <c r="AF31" s="409"/>
      <c r="AG31" s="409"/>
      <c r="AH31" s="409"/>
    </row>
    <row r="32" spans="1:34" ht="18" customHeight="1" thickBot="1" x14ac:dyDescent="0.35">
      <c r="A32" s="915"/>
      <c r="B32" s="858"/>
      <c r="C32" s="420"/>
      <c r="D32" s="875"/>
      <c r="E32" s="876"/>
      <c r="F32" s="863"/>
      <c r="G32" s="890"/>
      <c r="H32" s="421">
        <f t="shared" si="5"/>
        <v>0</v>
      </c>
      <c r="I32" s="422"/>
      <c r="J32" s="423"/>
      <c r="K32" s="424"/>
      <c r="L32" s="425"/>
      <c r="M32" s="426"/>
      <c r="N32" s="427"/>
      <c r="O32" s="428"/>
      <c r="P32" s="429">
        <f t="shared" si="6"/>
        <v>0</v>
      </c>
      <c r="Q32" s="893"/>
      <c r="R32" s="879"/>
      <c r="S32" s="879"/>
      <c r="T32" s="882"/>
      <c r="U32" s="836"/>
      <c r="V32" s="847"/>
      <c r="W32" s="850"/>
      <c r="X32" s="850"/>
      <c r="Y32" s="826"/>
      <c r="Z32" s="409"/>
      <c r="AA32" s="409"/>
      <c r="AB32" s="409"/>
      <c r="AC32" s="409"/>
      <c r="AD32" s="409"/>
      <c r="AE32" s="409"/>
      <c r="AF32" s="409"/>
      <c r="AG32" s="409"/>
      <c r="AH32" s="409"/>
    </row>
    <row r="33" spans="1:34" ht="30" customHeight="1" thickTop="1" thickBot="1" x14ac:dyDescent="0.35">
      <c r="A33" s="916"/>
      <c r="B33" s="902" t="s">
        <v>9</v>
      </c>
      <c r="C33" s="903"/>
      <c r="D33" s="903"/>
      <c r="E33" s="904"/>
      <c r="F33" s="430">
        <f>SUM(F5:F26)</f>
        <v>3060</v>
      </c>
      <c r="G33" s="905">
        <f>SUM(G5,G6,G9,G10,G13,G15,G17,G18)</f>
        <v>2923</v>
      </c>
      <c r="H33" s="906"/>
      <c r="I33" s="431">
        <f t="shared" ref="I33:O33" si="7">SUM(I5:I32)</f>
        <v>509</v>
      </c>
      <c r="J33" s="432">
        <f t="shared" si="7"/>
        <v>424</v>
      </c>
      <c r="K33" s="433">
        <f t="shared" si="7"/>
        <v>493</v>
      </c>
      <c r="L33" s="434">
        <f t="shared" si="7"/>
        <v>510</v>
      </c>
      <c r="M33" s="435">
        <f t="shared" si="7"/>
        <v>493</v>
      </c>
      <c r="N33" s="436">
        <f t="shared" si="7"/>
        <v>510</v>
      </c>
      <c r="O33" s="437">
        <f t="shared" si="7"/>
        <v>493</v>
      </c>
      <c r="P33" s="907"/>
      <c r="Q33" s="438">
        <f>SUM(Q5:Q26)</f>
        <v>-86</v>
      </c>
      <c r="R33" s="439">
        <f>SUM(R5:R26)</f>
        <v>-85</v>
      </c>
      <c r="S33" s="439">
        <f>SUM(S5:S26)</f>
        <v>34</v>
      </c>
      <c r="T33" s="440">
        <f>SUM(T5:T26)</f>
        <v>-137</v>
      </c>
      <c r="U33" s="441"/>
      <c r="V33" s="529"/>
      <c r="W33" s="442"/>
      <c r="X33" s="443"/>
      <c r="Y33" s="444"/>
      <c r="Z33" s="263"/>
      <c r="AA33" s="263"/>
      <c r="AB33" s="263"/>
      <c r="AC33" s="263"/>
    </row>
    <row r="34" spans="1:34" ht="18" customHeight="1" thickBot="1" x14ac:dyDescent="0.35">
      <c r="A34" s="914" t="s">
        <v>16</v>
      </c>
      <c r="B34" s="917" t="s">
        <v>112</v>
      </c>
      <c r="C34" s="918"/>
      <c r="D34" s="918"/>
      <c r="E34" s="919"/>
      <c r="F34" s="920" t="s">
        <v>113</v>
      </c>
      <c r="G34" s="923">
        <f>SUM(H34:H37)</f>
        <v>341</v>
      </c>
      <c r="H34" s="445">
        <f>SUM(J34,K34,L34,M34,N34,O34)</f>
        <v>170</v>
      </c>
      <c r="I34" s="446">
        <v>8</v>
      </c>
      <c r="J34" s="447">
        <v>8</v>
      </c>
      <c r="K34" s="448">
        <v>38</v>
      </c>
      <c r="L34" s="449">
        <v>24</v>
      </c>
      <c r="M34" s="450">
        <v>38</v>
      </c>
      <c r="N34" s="451">
        <v>24</v>
      </c>
      <c r="O34" s="452">
        <v>38</v>
      </c>
      <c r="P34" s="908"/>
      <c r="Q34" s="894">
        <f>SUM(I34:I37,K34:O37)-V34</f>
        <v>52</v>
      </c>
      <c r="R34" s="453">
        <f>J34-I34</f>
        <v>0</v>
      </c>
      <c r="S34" s="895"/>
      <c r="T34" s="883">
        <f>SUM(Q34:S37)</f>
        <v>35</v>
      </c>
      <c r="U34" s="885" t="str">
        <f>IF(AND(G34&gt;=W34,G34&lt;=X34),"○",IF(G34&lt;W34,"▽","△"))</f>
        <v>○</v>
      </c>
      <c r="V34" s="896">
        <v>306</v>
      </c>
      <c r="W34" s="899">
        <v>245</v>
      </c>
      <c r="X34" s="899">
        <v>367</v>
      </c>
      <c r="Y34" s="962">
        <v>61</v>
      </c>
      <c r="Z34" s="263"/>
      <c r="AA34" s="263"/>
      <c r="AB34" s="263"/>
      <c r="AC34" s="263"/>
    </row>
    <row r="35" spans="1:34" ht="18" customHeight="1" thickTop="1" x14ac:dyDescent="0.3">
      <c r="A35" s="915"/>
      <c r="B35" s="965" t="s">
        <v>114</v>
      </c>
      <c r="C35" s="967" t="s">
        <v>58</v>
      </c>
      <c r="D35" s="968"/>
      <c r="E35" s="969"/>
      <c r="F35" s="921"/>
      <c r="G35" s="822"/>
      <c r="H35" s="454">
        <f>SUM(J35,K35,L35,M35,N35,O35)</f>
        <v>51</v>
      </c>
      <c r="I35" s="364">
        <v>8</v>
      </c>
      <c r="J35" s="365">
        <v>8</v>
      </c>
      <c r="K35" s="366">
        <v>9</v>
      </c>
      <c r="L35" s="367">
        <v>8</v>
      </c>
      <c r="M35" s="368">
        <v>9</v>
      </c>
      <c r="N35" s="369">
        <v>8</v>
      </c>
      <c r="O35" s="370">
        <v>9</v>
      </c>
      <c r="P35" s="908"/>
      <c r="Q35" s="870"/>
      <c r="R35" s="375">
        <f t="shared" ref="R35:R37" si="8">J35-I35</f>
        <v>0</v>
      </c>
      <c r="S35" s="878"/>
      <c r="T35" s="884"/>
      <c r="U35" s="886"/>
      <c r="V35" s="897"/>
      <c r="W35" s="900"/>
      <c r="X35" s="900"/>
      <c r="Y35" s="963"/>
    </row>
    <row r="36" spans="1:34" ht="18" customHeight="1" thickBot="1" x14ac:dyDescent="0.35">
      <c r="A36" s="915"/>
      <c r="B36" s="966"/>
      <c r="C36" s="970" t="s">
        <v>115</v>
      </c>
      <c r="D36" s="971"/>
      <c r="E36" s="972"/>
      <c r="F36" s="921"/>
      <c r="G36" s="822"/>
      <c r="H36" s="455">
        <f>SUM(L36,M36,N36,O36,K36,J36)</f>
        <v>102</v>
      </c>
      <c r="I36" s="355">
        <v>17</v>
      </c>
      <c r="J36" s="356">
        <v>17</v>
      </c>
      <c r="K36" s="357">
        <v>17</v>
      </c>
      <c r="L36" s="358">
        <v>17</v>
      </c>
      <c r="M36" s="359">
        <v>17</v>
      </c>
      <c r="N36" s="360">
        <v>17</v>
      </c>
      <c r="O36" s="361">
        <v>17</v>
      </c>
      <c r="P36" s="908"/>
      <c r="Q36" s="870"/>
      <c r="R36" s="456">
        <f t="shared" si="8"/>
        <v>0</v>
      </c>
      <c r="S36" s="878"/>
      <c r="T36" s="884"/>
      <c r="U36" s="886"/>
      <c r="V36" s="897"/>
      <c r="W36" s="900"/>
      <c r="X36" s="900"/>
      <c r="Y36" s="963"/>
      <c r="Z36" s="263"/>
      <c r="AA36" s="263"/>
      <c r="AB36" s="263"/>
      <c r="AC36" s="263"/>
    </row>
    <row r="37" spans="1:34" ht="18" customHeight="1" thickTop="1" thickBot="1" x14ac:dyDescent="0.35">
      <c r="A37" s="915"/>
      <c r="B37" s="926" t="s">
        <v>116</v>
      </c>
      <c r="C37" s="927"/>
      <c r="D37" s="927"/>
      <c r="E37" s="928"/>
      <c r="F37" s="922"/>
      <c r="G37" s="924"/>
      <c r="H37" s="457">
        <f>SUM(L37,M37,N37,O37,K37,J37)</f>
        <v>18</v>
      </c>
      <c r="I37" s="458">
        <v>19</v>
      </c>
      <c r="J37" s="459">
        <v>2</v>
      </c>
      <c r="K37" s="460">
        <v>4</v>
      </c>
      <c r="L37" s="461">
        <v>2</v>
      </c>
      <c r="M37" s="462">
        <v>4</v>
      </c>
      <c r="N37" s="463">
        <v>2</v>
      </c>
      <c r="O37" s="464">
        <v>4</v>
      </c>
      <c r="P37" s="908"/>
      <c r="Q37" s="842"/>
      <c r="R37" s="331">
        <f t="shared" si="8"/>
        <v>-17</v>
      </c>
      <c r="S37" s="879"/>
      <c r="T37" s="834"/>
      <c r="U37" s="887"/>
      <c r="V37" s="898"/>
      <c r="W37" s="901"/>
      <c r="X37" s="901"/>
      <c r="Y37" s="964"/>
      <c r="Z37" s="940"/>
      <c r="AA37" s="770"/>
      <c r="AB37" s="770"/>
      <c r="AC37" s="770"/>
      <c r="AD37" s="770"/>
      <c r="AE37" s="770"/>
      <c r="AF37" s="770"/>
      <c r="AG37" s="770"/>
      <c r="AH37" s="770"/>
    </row>
    <row r="38" spans="1:34" ht="30" customHeight="1" thickTop="1" thickBot="1" x14ac:dyDescent="0.35">
      <c r="A38" s="916"/>
      <c r="B38" s="946" t="s">
        <v>6</v>
      </c>
      <c r="C38" s="947"/>
      <c r="D38" s="947"/>
      <c r="E38" s="948"/>
      <c r="F38" s="465" t="s">
        <v>113</v>
      </c>
      <c r="G38" s="949">
        <f>SUM(G34)</f>
        <v>341</v>
      </c>
      <c r="H38" s="950"/>
      <c r="I38" s="466">
        <f>SUM(I34:I37)</f>
        <v>52</v>
      </c>
      <c r="J38" s="467">
        <f t="shared" ref="J38:O38" si="9">SUM(J34:J37)</f>
        <v>35</v>
      </c>
      <c r="K38" s="468">
        <f t="shared" si="9"/>
        <v>68</v>
      </c>
      <c r="L38" s="469">
        <f t="shared" si="9"/>
        <v>51</v>
      </c>
      <c r="M38" s="470">
        <f t="shared" si="9"/>
        <v>68</v>
      </c>
      <c r="N38" s="471">
        <f t="shared" si="9"/>
        <v>51</v>
      </c>
      <c r="O38" s="470">
        <f t="shared" si="9"/>
        <v>68</v>
      </c>
      <c r="P38" s="908"/>
      <c r="Q38" s="438">
        <f>SUM(Q34:Q37)</f>
        <v>52</v>
      </c>
      <c r="R38" s="439">
        <f>SUM(R34:R37)</f>
        <v>-17</v>
      </c>
      <c r="S38" s="472"/>
      <c r="T38" s="473">
        <f>SUM(T34:T37)</f>
        <v>35</v>
      </c>
      <c r="U38" s="441"/>
      <c r="V38" s="951" t="s">
        <v>117</v>
      </c>
      <c r="W38" s="952"/>
      <c r="X38" s="953"/>
      <c r="Y38" s="954" t="s">
        <v>118</v>
      </c>
      <c r="Z38" s="940"/>
      <c r="AA38" s="770"/>
      <c r="AB38" s="770"/>
      <c r="AC38" s="770"/>
      <c r="AD38" s="770"/>
      <c r="AE38" s="770"/>
      <c r="AF38" s="770"/>
      <c r="AG38" s="770"/>
      <c r="AH38" s="770"/>
    </row>
    <row r="39" spans="1:34" ht="18" customHeight="1" x14ac:dyDescent="0.3">
      <c r="A39" s="914" t="s">
        <v>119</v>
      </c>
      <c r="B39" s="956" t="s">
        <v>94</v>
      </c>
      <c r="C39" s="957"/>
      <c r="D39" s="957"/>
      <c r="E39" s="958"/>
      <c r="F39" s="959">
        <v>102</v>
      </c>
      <c r="G39" s="960">
        <f>SUM(H39:H40)</f>
        <v>102</v>
      </c>
      <c r="H39" s="474">
        <f>J39</f>
        <v>68</v>
      </c>
      <c r="I39" s="475"/>
      <c r="J39" s="476">
        <v>68</v>
      </c>
      <c r="K39" s="477"/>
      <c r="L39" s="478"/>
      <c r="M39" s="479"/>
      <c r="N39" s="480"/>
      <c r="O39" s="481"/>
      <c r="P39" s="908"/>
      <c r="Q39" s="961"/>
      <c r="R39" s="482">
        <f>J39</f>
        <v>68</v>
      </c>
      <c r="S39" s="895"/>
      <c r="T39" s="883">
        <f>SUM(Q39:S40)</f>
        <v>102</v>
      </c>
      <c r="U39" s="910" t="str">
        <f>IF(AND(G39&gt;=102,G39&lt;=102),"○",IF(G39&lt;102,"▽","△"))</f>
        <v>○</v>
      </c>
      <c r="V39" s="483" t="s">
        <v>120</v>
      </c>
      <c r="W39" s="484" t="s">
        <v>121</v>
      </c>
      <c r="X39" s="485" t="s">
        <v>122</v>
      </c>
      <c r="Y39" s="955"/>
      <c r="Z39" s="396"/>
      <c r="AA39" s="396"/>
      <c r="AB39" s="396"/>
      <c r="AC39" s="396"/>
      <c r="AD39" s="396"/>
      <c r="AE39" s="396"/>
      <c r="AF39" s="396"/>
      <c r="AG39" s="396"/>
    </row>
    <row r="40" spans="1:34" ht="18" customHeight="1" thickBot="1" x14ac:dyDescent="0.35">
      <c r="A40" s="915"/>
      <c r="B40" s="829" t="s">
        <v>95</v>
      </c>
      <c r="C40" s="925"/>
      <c r="D40" s="925"/>
      <c r="E40" s="830"/>
      <c r="F40" s="820"/>
      <c r="G40" s="823"/>
      <c r="H40" s="486">
        <f>J40</f>
        <v>34</v>
      </c>
      <c r="I40" s="487"/>
      <c r="J40" s="349">
        <v>34</v>
      </c>
      <c r="K40" s="488"/>
      <c r="L40" s="489"/>
      <c r="M40" s="490"/>
      <c r="N40" s="491"/>
      <c r="O40" s="492"/>
      <c r="P40" s="908"/>
      <c r="Q40" s="893"/>
      <c r="R40" s="362">
        <f>J40</f>
        <v>34</v>
      </c>
      <c r="S40" s="879"/>
      <c r="T40" s="834"/>
      <c r="U40" s="911"/>
      <c r="V40" s="493">
        <f>SUM(J35,K35)</f>
        <v>17</v>
      </c>
      <c r="W40" s="494">
        <f>SUM(L35,M35)</f>
        <v>17</v>
      </c>
      <c r="X40" s="495">
        <f>SUM(N35,O35)</f>
        <v>17</v>
      </c>
      <c r="Y40" s="496">
        <f>SUM(J12,K12,L12,M12,N12,O12,S12)</f>
        <v>68</v>
      </c>
      <c r="Z40" s="263"/>
      <c r="AA40" s="263"/>
      <c r="AB40" s="263"/>
      <c r="AC40" s="263"/>
    </row>
    <row r="41" spans="1:34" ht="28.5" customHeight="1" thickTop="1" thickBot="1" x14ac:dyDescent="0.35">
      <c r="A41" s="916"/>
      <c r="B41" s="902" t="s">
        <v>4</v>
      </c>
      <c r="C41" s="903"/>
      <c r="D41" s="903"/>
      <c r="E41" s="904"/>
      <c r="F41" s="432"/>
      <c r="G41" s="902">
        <f>SUM(G39)</f>
        <v>102</v>
      </c>
      <c r="H41" s="937"/>
      <c r="I41" s="431"/>
      <c r="J41" s="432">
        <f>J39+J40</f>
        <v>102</v>
      </c>
      <c r="K41" s="433"/>
      <c r="L41" s="434"/>
      <c r="M41" s="435"/>
      <c r="N41" s="436"/>
      <c r="O41" s="437"/>
      <c r="P41" s="908"/>
      <c r="Q41" s="497"/>
      <c r="R41" s="439">
        <f>SUM(R39:R40)</f>
        <v>102</v>
      </c>
      <c r="S41" s="472"/>
      <c r="T41" s="473">
        <f>SUM(T39:T40)</f>
        <v>102</v>
      </c>
      <c r="U41" s="523"/>
      <c r="V41" s="938" t="s">
        <v>123</v>
      </c>
      <c r="W41" s="939"/>
      <c r="X41" s="939"/>
      <c r="Y41" s="498">
        <f>SUM(I14,K14,L14,M14,N14,O14,I36,K36,L36,M36,N36,O36)</f>
        <v>136</v>
      </c>
      <c r="Z41" s="940"/>
      <c r="AA41" s="770"/>
      <c r="AB41" s="770"/>
      <c r="AC41" s="770"/>
      <c r="AD41" s="770"/>
      <c r="AE41" s="770"/>
    </row>
    <row r="42" spans="1:34" ht="36" customHeight="1" thickBot="1" x14ac:dyDescent="0.35">
      <c r="A42" s="941" t="s">
        <v>11</v>
      </c>
      <c r="B42" s="942"/>
      <c r="C42" s="942"/>
      <c r="D42" s="942"/>
      <c r="E42" s="943"/>
      <c r="F42" s="499" t="s">
        <v>124</v>
      </c>
      <c r="G42" s="944">
        <f>SUM(G33,G38,G41)</f>
        <v>3366</v>
      </c>
      <c r="H42" s="945"/>
      <c r="I42" s="500">
        <f>I33+I38</f>
        <v>561</v>
      </c>
      <c r="J42" s="501">
        <f>J33+J38+J41</f>
        <v>561</v>
      </c>
      <c r="K42" s="502">
        <f>K33+K38+K41</f>
        <v>561</v>
      </c>
      <c r="L42" s="503">
        <f>L33+L38</f>
        <v>561</v>
      </c>
      <c r="M42" s="504">
        <f>M33+M38</f>
        <v>561</v>
      </c>
      <c r="N42" s="505">
        <f>N33+N38</f>
        <v>561</v>
      </c>
      <c r="O42" s="506">
        <f>O33+O38</f>
        <v>561</v>
      </c>
      <c r="P42" s="908"/>
      <c r="Q42" s="507">
        <f>SUM(Q33,Q38,Q41)</f>
        <v>-34</v>
      </c>
      <c r="R42" s="508">
        <f>SUM(R33,R38,R41)</f>
        <v>0</v>
      </c>
      <c r="S42" s="508">
        <f>SUM(S33,S38,S41)</f>
        <v>34</v>
      </c>
      <c r="T42" s="509">
        <f>SUM(T33,T38,T41)</f>
        <v>0</v>
      </c>
      <c r="U42" s="522" t="str">
        <f>IF(G42=3366,"○",IF(G42&lt;3366,"▽","○"))</f>
        <v>○</v>
      </c>
      <c r="V42" s="530"/>
      <c r="W42" s="510"/>
      <c r="X42" s="510"/>
      <c r="Y42" s="511"/>
      <c r="Z42" s="940"/>
      <c r="AA42" s="770"/>
      <c r="AB42" s="770"/>
      <c r="AC42" s="770"/>
      <c r="AD42" s="770"/>
      <c r="AE42" s="770"/>
    </row>
    <row r="43" spans="1:34" ht="18" customHeight="1" thickTop="1" thickBot="1" x14ac:dyDescent="0.35">
      <c r="A43" s="912" t="s">
        <v>125</v>
      </c>
      <c r="B43" s="913"/>
      <c r="C43" s="913"/>
      <c r="D43" s="913"/>
      <c r="E43" s="913"/>
      <c r="F43" s="913"/>
      <c r="G43" s="913"/>
      <c r="H43" s="913"/>
      <c r="I43" s="912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3" s="913"/>
      <c r="K43" s="512">
        <f>IF(ISBLANK(K5),0,1)+IF(ISBLANK(K6),0,1)+IF(ISBLANK(K7),0,1)+IF(ISBLANK(K8),0,1)+IF(ISBLANK(K9),0,1)+IF(ISBLANK(K10),0,1)+IF(ISBLANK(K11),0,1)+IF(ISBLANK(K12),0,1)+IF(ISBLANK(K17),0,1)+IF(ISBLANK(K18),0,1)+IF(ISBLANK(K19),0,1)</f>
        <v>8</v>
      </c>
      <c r="L43" s="513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3" s="514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3" s="515">
        <f>IF(ISBLANK(N5),0,1)+IF(ISBLANK(N6),0,1)+IF(ISBLANK(N7),0,1)+IF(ISBLANK(N8),0,1)+IF(ISBLANK(N9),0,1)+IF(ISBLANK(N10),0,1)+IF(ISBLANK(N11),0,1)+IF(ISBLANK(N12),0,1)+IF(ISBLANK(N17),0,1)+IF(ISBLANK(N18),0,1)+IF(ISBLANK(N19),0,1)</f>
        <v>7</v>
      </c>
      <c r="O43" s="516">
        <f>IF(ISBLANK(O5),0,1)+IF(ISBLANK(O6),0,1)+IF(ISBLANK(O7),0,1)+IF(ISBLANK(O8),0,1)+IF(ISBLANK(O9),0,1)+IF(ISBLANK(O10),0,1)+IF(ISBLANK(O11),0,1)+IF(ISBLANK(O12),0,1)+IF(ISBLANK(O17),0,1)+IF(ISBLANK(O18),0,1)+IF(ISBLANK(O19),0,1)</f>
        <v>7</v>
      </c>
      <c r="P43" s="909"/>
      <c r="Q43" s="517"/>
      <c r="R43" s="518"/>
      <c r="S43" s="519"/>
      <c r="T43" s="520"/>
      <c r="U43" s="521"/>
      <c r="V43" s="531"/>
      <c r="W43" s="532"/>
      <c r="X43" s="532"/>
      <c r="Y43" s="533"/>
    </row>
    <row r="44" spans="1:34" ht="54" customHeight="1" thickTop="1" thickBot="1" x14ac:dyDescent="0.35">
      <c r="A44" s="930" t="s">
        <v>126</v>
      </c>
      <c r="B44" s="931"/>
      <c r="C44" s="931"/>
      <c r="D44" s="931"/>
      <c r="E44" s="932"/>
      <c r="F44" s="933"/>
      <c r="G44" s="934"/>
      <c r="H44" s="934"/>
      <c r="I44" s="934"/>
      <c r="J44" s="934"/>
      <c r="K44" s="934"/>
      <c r="L44" s="934"/>
      <c r="M44" s="934"/>
      <c r="N44" s="934"/>
      <c r="O44" s="934"/>
      <c r="P44" s="935"/>
      <c r="Q44" s="935"/>
      <c r="R44" s="935"/>
      <c r="S44" s="935"/>
      <c r="T44" s="935"/>
      <c r="U44" s="935"/>
      <c r="V44" s="935"/>
      <c r="W44" s="935"/>
      <c r="X44" s="935"/>
      <c r="Y44" s="936"/>
    </row>
  </sheetData>
  <sheetProtection algorithmName="SHA-512" hashValue="tR9ur/dQ1M8JlF7AS/0NJR+FxzaONVMgFVxPsC4CsFZmriGs6yNhg/SVL4q1d0vHMQcp1OunCZwkOOtb8TBMfw==" saltValue="o45wEyN7b+AERUXCjSAHog==" spinCount="100000" sheet="1" objects="1" scenarios="1"/>
  <mergeCells count="141">
    <mergeCell ref="A5:A33"/>
    <mergeCell ref="A44:E44"/>
    <mergeCell ref="F44:Y44"/>
    <mergeCell ref="G41:H41"/>
    <mergeCell ref="V41:X41"/>
    <mergeCell ref="Z41:AE41"/>
    <mergeCell ref="A42:E42"/>
    <mergeCell ref="G42:H42"/>
    <mergeCell ref="Z42:AE42"/>
    <mergeCell ref="Z37:AH37"/>
    <mergeCell ref="B38:E38"/>
    <mergeCell ref="G38:H38"/>
    <mergeCell ref="V38:X38"/>
    <mergeCell ref="Y38:Y39"/>
    <mergeCell ref="Z38:AH38"/>
    <mergeCell ref="B39:E39"/>
    <mergeCell ref="F39:F40"/>
    <mergeCell ref="G39:G40"/>
    <mergeCell ref="Q39:Q40"/>
    <mergeCell ref="X34:X37"/>
    <mergeCell ref="Y34:Y37"/>
    <mergeCell ref="B35:B36"/>
    <mergeCell ref="C35:E35"/>
    <mergeCell ref="C36:E36"/>
    <mergeCell ref="B34:E34"/>
    <mergeCell ref="F34:F37"/>
    <mergeCell ref="G34:G37"/>
    <mergeCell ref="A39:A41"/>
    <mergeCell ref="B40:E40"/>
    <mergeCell ref="B41:E41"/>
    <mergeCell ref="S39:S40"/>
    <mergeCell ref="T39:T40"/>
    <mergeCell ref="B37:E37"/>
    <mergeCell ref="U18:U26"/>
    <mergeCell ref="V18:V26"/>
    <mergeCell ref="W18:W26"/>
    <mergeCell ref="X18:X26"/>
    <mergeCell ref="D32:E32"/>
    <mergeCell ref="S27:S32"/>
    <mergeCell ref="T27:T32"/>
    <mergeCell ref="U27:U32"/>
    <mergeCell ref="T34:T37"/>
    <mergeCell ref="U34:U37"/>
    <mergeCell ref="R27:R32"/>
    <mergeCell ref="G27:G32"/>
    <mergeCell ref="Q27:Q32"/>
    <mergeCell ref="Q34:Q37"/>
    <mergeCell ref="S34:S37"/>
    <mergeCell ref="V34:V37"/>
    <mergeCell ref="W34:W37"/>
    <mergeCell ref="B33:E33"/>
    <mergeCell ref="G33:H33"/>
    <mergeCell ref="P33:P43"/>
    <mergeCell ref="U39:U40"/>
    <mergeCell ref="A43:H43"/>
    <mergeCell ref="I43:J43"/>
    <mergeCell ref="A34:A38"/>
    <mergeCell ref="D20:E20"/>
    <mergeCell ref="D21:E21"/>
    <mergeCell ref="D22:E22"/>
    <mergeCell ref="D23:E23"/>
    <mergeCell ref="D24:E24"/>
    <mergeCell ref="D25:E25"/>
    <mergeCell ref="D26:E26"/>
    <mergeCell ref="Q18:Q26"/>
    <mergeCell ref="T18:T26"/>
    <mergeCell ref="V27:V32"/>
    <mergeCell ref="W27:W32"/>
    <mergeCell ref="X27:X32"/>
    <mergeCell ref="Y27:Y32"/>
    <mergeCell ref="D28:E28"/>
    <mergeCell ref="D29:E29"/>
    <mergeCell ref="D30:E30"/>
    <mergeCell ref="D31:E31"/>
    <mergeCell ref="Y13:Y14"/>
    <mergeCell ref="D14:E14"/>
    <mergeCell ref="V13:V14"/>
    <mergeCell ref="W13:W14"/>
    <mergeCell ref="X13:X14"/>
    <mergeCell ref="B17:E17"/>
    <mergeCell ref="G17:H17"/>
    <mergeCell ref="B18:C26"/>
    <mergeCell ref="D18:E18"/>
    <mergeCell ref="F18:F26"/>
    <mergeCell ref="G18:G26"/>
    <mergeCell ref="B27:B32"/>
    <mergeCell ref="D27:E27"/>
    <mergeCell ref="F27:F32"/>
    <mergeCell ref="Y18:Y26"/>
    <mergeCell ref="D19:E19"/>
    <mergeCell ref="B15:C16"/>
    <mergeCell ref="D15:E15"/>
    <mergeCell ref="F15:F16"/>
    <mergeCell ref="G15:G16"/>
    <mergeCell ref="D16:E16"/>
    <mergeCell ref="S13:S14"/>
    <mergeCell ref="T13:T14"/>
    <mergeCell ref="U13:U14"/>
    <mergeCell ref="B13:C14"/>
    <mergeCell ref="D13:E13"/>
    <mergeCell ref="F13:F14"/>
    <mergeCell ref="G13:G14"/>
    <mergeCell ref="Q13:Q14"/>
    <mergeCell ref="R13:R14"/>
    <mergeCell ref="Y10:Y12"/>
    <mergeCell ref="D11:E11"/>
    <mergeCell ref="D12:E12"/>
    <mergeCell ref="F6:F8"/>
    <mergeCell ref="G6:G8"/>
    <mergeCell ref="Y6:Y8"/>
    <mergeCell ref="D7:E7"/>
    <mergeCell ref="D8:E8"/>
    <mergeCell ref="B9:E9"/>
    <mergeCell ref="G9:H9"/>
    <mergeCell ref="B5:E5"/>
    <mergeCell ref="G5:H5"/>
    <mergeCell ref="B6:C8"/>
    <mergeCell ref="D6:E6"/>
    <mergeCell ref="Q3:Q4"/>
    <mergeCell ref="R3:R4"/>
    <mergeCell ref="S3:S4"/>
    <mergeCell ref="T3:T4"/>
    <mergeCell ref="B10:C12"/>
    <mergeCell ref="D10:E10"/>
    <mergeCell ref="F10:F12"/>
    <mergeCell ref="G10:G12"/>
    <mergeCell ref="A1:D1"/>
    <mergeCell ref="E1:O1"/>
    <mergeCell ref="Z1:AH1"/>
    <mergeCell ref="A3:E4"/>
    <mergeCell ref="F3:F4"/>
    <mergeCell ref="G3:H4"/>
    <mergeCell ref="I3:K3"/>
    <mergeCell ref="L3:M3"/>
    <mergeCell ref="N3:O3"/>
    <mergeCell ref="P3:P4"/>
    <mergeCell ref="V3:V4"/>
    <mergeCell ref="W3:W4"/>
    <mergeCell ref="X3:X4"/>
    <mergeCell ref="Y3:Y4"/>
    <mergeCell ref="U3:U4"/>
  </mergeCells>
  <phoneticPr fontId="14" type="noConversion"/>
  <conditionalFormatting sqref="C27:E32">
    <cfRule type="notContainsBlanks" dxfId="169" priority="74">
      <formula>LEN(TRIM(C27))&gt;0</formula>
    </cfRule>
  </conditionalFormatting>
  <conditionalFormatting sqref="D24:E26">
    <cfRule type="notContainsBlanks" dxfId="168" priority="92">
      <formula>LEN(TRIM(D24))&gt;0</formula>
    </cfRule>
  </conditionalFormatting>
  <conditionalFormatting sqref="F38">
    <cfRule type="cellIs" dxfId="167" priority="72" operator="equal">
      <formula>272</formula>
    </cfRule>
    <cfRule type="cellIs" dxfId="166" priority="71" operator="between">
      <formula>272</formula>
      <formula>136</formula>
    </cfRule>
    <cfRule type="cellIs" dxfId="165" priority="70" operator="between">
      <formula>272</formula>
      <formula>306</formula>
    </cfRule>
  </conditionalFormatting>
  <conditionalFormatting sqref="G13">
    <cfRule type="expression" dxfId="164" priority="50">
      <formula>IF(OR(G13&lt;272,G13&gt;326),1,0)</formula>
    </cfRule>
    <cfRule type="expression" dxfId="163" priority="51">
      <formula>IF(AND(G13&gt;=272,G13&lt;=326),1,0)</formula>
    </cfRule>
  </conditionalFormatting>
  <conditionalFormatting sqref="G15:G16">
    <cfRule type="expression" dxfId="162" priority="49">
      <formula>IF(G15&gt;=#REF!,1,0)</formula>
    </cfRule>
    <cfRule type="expression" dxfId="161" priority="48">
      <formula>IF(G15&lt;#REF!,1,0)</formula>
    </cfRule>
    <cfRule type="expression" dxfId="160" priority="47">
      <formula>IF(G15&gt;=238,1,0)</formula>
    </cfRule>
    <cfRule type="expression" dxfId="159" priority="46">
      <formula>IF(G15&lt;238,1,0)</formula>
    </cfRule>
  </conditionalFormatting>
  <conditionalFormatting sqref="G17">
    <cfRule type="expression" dxfId="158" priority="307">
      <formula>IF(OR($G$17&lt;$W$17,$G$17&gt;$X$17),1,0)</formula>
    </cfRule>
    <cfRule type="expression" dxfId="157" priority="308">
      <formula>IF(AND($G$17&gt;=$W$17,$G$17&lt;=$X$17),1,0)</formula>
    </cfRule>
  </conditionalFormatting>
  <conditionalFormatting sqref="G18:G26">
    <cfRule type="cellIs" dxfId="156" priority="12" operator="greaterThan">
      <formula>204</formula>
    </cfRule>
    <cfRule type="cellIs" dxfId="155" priority="13" operator="lessThan">
      <formula>136</formula>
    </cfRule>
  </conditionalFormatting>
  <conditionalFormatting sqref="G27:G32">
    <cfRule type="cellIs" dxfId="154" priority="36" operator="lessThan">
      <formula>33</formula>
    </cfRule>
  </conditionalFormatting>
  <conditionalFormatting sqref="G39:G40">
    <cfRule type="cellIs" dxfId="153" priority="11" operator="lessThan">
      <formula>102</formula>
    </cfRule>
  </conditionalFormatting>
  <conditionalFormatting sqref="G5:H5">
    <cfRule type="expression" dxfId="152" priority="310">
      <formula>IF(AND($G$5&gt;=$W$5,$G$5&lt;=$X$5),1,0)</formula>
    </cfRule>
    <cfRule type="expression" dxfId="151" priority="309">
      <formula>IF(OR($G$5&lt;$W$5,$G$5&gt;$X$5),1,0)</formula>
    </cfRule>
  </conditionalFormatting>
  <conditionalFormatting sqref="G9:H9">
    <cfRule type="expression" dxfId="150" priority="312">
      <formula>IF(AND($G$9&gt;=$W$9,$G$9&lt;=$X$9),1,0)</formula>
    </cfRule>
    <cfRule type="expression" dxfId="149" priority="311">
      <formula>IF(OR($G$9&lt;$W$9,$G$9&gt;$X$9),1,0)</formula>
    </cfRule>
  </conditionalFormatting>
  <conditionalFormatting sqref="G42:H42">
    <cfRule type="expression" dxfId="148" priority="53">
      <formula>IF($G$42&gt;=3366,1,0)</formula>
    </cfRule>
    <cfRule type="expression" dxfId="147" priority="52">
      <formula>IF($G$42&lt;3366,1,0)</formula>
    </cfRule>
  </conditionalFormatting>
  <conditionalFormatting sqref="H6">
    <cfRule type="expression" dxfId="146" priority="313">
      <formula>IF(OR($H$6&lt;$W$6,$H6&gt;$X$6),1,0)</formula>
    </cfRule>
    <cfRule type="expression" dxfId="145" priority="314">
      <formula>IF(AND($H$6&gt;=$W$6,$H$6&lt;=$X$6),1,0)</formula>
    </cfRule>
  </conditionalFormatting>
  <conditionalFormatting sqref="H7">
    <cfRule type="expression" dxfId="144" priority="316">
      <formula>IF(AND($H$7&gt;=$W$7,$H$7&lt;=$X$7),1,0)</formula>
    </cfRule>
    <cfRule type="expression" dxfId="143" priority="315">
      <formula>IF(OR($H$7&lt;$W$7,$H7&gt;$X$7),1,0)</formula>
    </cfRule>
  </conditionalFormatting>
  <conditionalFormatting sqref="H8">
    <cfRule type="expression" dxfId="142" priority="318">
      <formula>IF(AND($H$8&gt;=$W$8,$H$8&lt;=$X$8),1,0)</formula>
    </cfRule>
    <cfRule type="expression" dxfId="141" priority="317">
      <formula>IF(OR($H$8&lt;$W$8,$H8&gt;$X$8),1,0)</formula>
    </cfRule>
  </conditionalFormatting>
  <conditionalFormatting sqref="H10">
    <cfRule type="expression" dxfId="140" priority="319">
      <formula>IF(OR($H$10&lt;$W$10,$H10&gt;$X$10),1,0)</formula>
    </cfRule>
    <cfRule type="expression" dxfId="139" priority="320">
      <formula>IF(AND($H$10&gt;=$W$10,$H$10&lt;=$X$10),1,0)</formula>
    </cfRule>
  </conditionalFormatting>
  <conditionalFormatting sqref="H11">
    <cfRule type="expression" dxfId="138" priority="321">
      <formula>IF(OR($H$11&lt;$W$11,$H11&gt;$X$11),1,0)</formula>
    </cfRule>
    <cfRule type="expression" dxfId="137" priority="322">
      <formula>IF(AND($H$11&gt;=$W$11,$H$11&lt;=$X$11),1,0)</formula>
    </cfRule>
  </conditionalFormatting>
  <conditionalFormatting sqref="H12">
    <cfRule type="cellIs" dxfId="136" priority="28" operator="lessThan">
      <formula>68</formula>
    </cfRule>
  </conditionalFormatting>
  <conditionalFormatting sqref="H13">
    <cfRule type="expression" dxfId="135" priority="324">
      <formula>IF(AND($H$13&gt;=$W$13,$H$13&lt;=$X$13),1,0)</formula>
    </cfRule>
    <cfRule type="expression" dxfId="134" priority="323">
      <formula>IF(OR($H$13&lt;$W$13,$H13&gt;$X$13),1,0)</formula>
    </cfRule>
  </conditionalFormatting>
  <conditionalFormatting sqref="H14">
    <cfRule type="cellIs" dxfId="133" priority="3" operator="greaterThan">
      <formula>34</formula>
    </cfRule>
  </conditionalFormatting>
  <conditionalFormatting sqref="H15:H16">
    <cfRule type="expression" dxfId="132" priority="44">
      <formula>IF(OR(H15&lt;136,H15&gt;163),1,0)</formula>
    </cfRule>
    <cfRule type="expression" dxfId="131" priority="45">
      <formula>IF(AND(H15&gt;=136,H15&lt;=163),1,0)</formula>
    </cfRule>
  </conditionalFormatting>
  <conditionalFormatting sqref="I43:O43">
    <cfRule type="cellIs" dxfId="130" priority="69" operator="greaterThan">
      <formula>8</formula>
    </cfRule>
  </conditionalFormatting>
  <conditionalFormatting sqref="J42">
    <cfRule type="cellIs" dxfId="129" priority="68" operator="notEqual">
      <formula>$I$42</formula>
    </cfRule>
  </conditionalFormatting>
  <conditionalFormatting sqref="P13">
    <cfRule type="notContainsText" dxfId="128" priority="23" operator="notContains" text="6">
      <formula>ISERROR(SEARCH("6",P13))</formula>
    </cfRule>
  </conditionalFormatting>
  <conditionalFormatting sqref="P14">
    <cfRule type="cellIs" dxfId="127" priority="2" operator="greaterThanOrEqual">
      <formula>3</formula>
    </cfRule>
  </conditionalFormatting>
  <conditionalFormatting sqref="Q5">
    <cfRule type="cellIs" dxfId="126" priority="66" operator="greaterThan">
      <formula>88</formula>
    </cfRule>
    <cfRule type="cellIs" dxfId="125" priority="67" operator="lessThan">
      <formula>-88</formula>
    </cfRule>
  </conditionalFormatting>
  <conditionalFormatting sqref="Q6:Q8">
    <cfRule type="cellIs" dxfId="124" priority="64" operator="lessThan">
      <formula>-34</formula>
    </cfRule>
    <cfRule type="cellIs" dxfId="123" priority="65" operator="greaterThan">
      <formula>34</formula>
    </cfRule>
  </conditionalFormatting>
  <conditionalFormatting sqref="Q9:Q10">
    <cfRule type="cellIs" dxfId="122" priority="63" operator="greaterThan">
      <formula>74</formula>
    </cfRule>
    <cfRule type="cellIs" dxfId="121" priority="62" operator="lessThan">
      <formula>-74</formula>
    </cfRule>
  </conditionalFormatting>
  <conditionalFormatting sqref="Q11">
    <cfRule type="cellIs" dxfId="120" priority="60" operator="lessThan">
      <formula>-54</formula>
    </cfRule>
    <cfRule type="cellIs" dxfId="119" priority="61" operator="greaterThan">
      <formula>54</formula>
    </cfRule>
  </conditionalFormatting>
  <conditionalFormatting sqref="Q12:Q13 Q15:Q16">
    <cfRule type="cellIs" dxfId="118" priority="41" operator="lessThan">
      <formula>0</formula>
    </cfRule>
  </conditionalFormatting>
  <conditionalFormatting sqref="Q13">
    <cfRule type="cellIs" dxfId="117" priority="40" operator="greaterThan">
      <formula>54</formula>
    </cfRule>
  </conditionalFormatting>
  <conditionalFormatting sqref="Q15:Q16">
    <cfRule type="cellIs" dxfId="116" priority="56" operator="greaterThan">
      <formula>27</formula>
    </cfRule>
  </conditionalFormatting>
  <conditionalFormatting sqref="Q17">
    <cfRule type="cellIs" dxfId="115" priority="59" operator="greaterThan">
      <formula>68</formula>
    </cfRule>
    <cfRule type="cellIs" dxfId="114" priority="58" operator="lessThan">
      <formula>-68</formula>
    </cfRule>
  </conditionalFormatting>
  <conditionalFormatting sqref="Q18:Q27">
    <cfRule type="cellIs" dxfId="113" priority="54" operator="greaterThan">
      <formula>34</formula>
    </cfRule>
    <cfRule type="cellIs" dxfId="112" priority="55" operator="lessThan">
      <formula>-34</formula>
    </cfRule>
  </conditionalFormatting>
  <conditionalFormatting sqref="Q34:R37 R39:R40">
    <cfRule type="notContainsBlanks" dxfId="111" priority="93">
      <formula>LEN(TRIM(Q34))&gt;0</formula>
    </cfRule>
  </conditionalFormatting>
  <conditionalFormatting sqref="Q34:R37">
    <cfRule type="cellIs" dxfId="110" priority="27" operator="equal">
      <formula>0</formula>
    </cfRule>
  </conditionalFormatting>
  <conditionalFormatting sqref="Q5:S13 Q15:S26">
    <cfRule type="notContainsBlanks" dxfId="109" priority="73">
      <formula>LEN(TRIM(Q5))&gt;0</formula>
    </cfRule>
    <cfRule type="cellIs" dxfId="108" priority="22" operator="equal">
      <formula>0</formula>
    </cfRule>
  </conditionalFormatting>
  <conditionalFormatting sqref="R13 R15:R16">
    <cfRule type="cellIs" dxfId="107" priority="10" operator="notEqual">
      <formula>0</formula>
    </cfRule>
  </conditionalFormatting>
  <conditionalFormatting sqref="R35:R36">
    <cfRule type="cellIs" dxfId="106" priority="9" operator="notEqual">
      <formula>0</formula>
    </cfRule>
  </conditionalFormatting>
  <conditionalFormatting sqref="R39:R40">
    <cfRule type="containsText" dxfId="105" priority="26" operator="containsText" text="0">
      <formula>NOT(ISERROR(SEARCH("0",R39)))</formula>
    </cfRule>
  </conditionalFormatting>
  <conditionalFormatting sqref="R42">
    <cfRule type="cellIs" dxfId="104" priority="43" operator="notEqual">
      <formula>0</formula>
    </cfRule>
  </conditionalFormatting>
  <conditionalFormatting sqref="T5:T13 T15:T26">
    <cfRule type="cellIs" dxfId="103" priority="21" operator="greaterThan">
      <formula>0</formula>
    </cfRule>
    <cfRule type="cellIs" dxfId="102" priority="20" operator="lessThan">
      <formula>0</formula>
    </cfRule>
  </conditionalFormatting>
  <conditionalFormatting sqref="T34:T37">
    <cfRule type="cellIs" dxfId="101" priority="19" operator="greaterThan">
      <formula>0</formula>
    </cfRule>
    <cfRule type="cellIs" dxfId="100" priority="18" operator="lessThan">
      <formula>0</formula>
    </cfRule>
  </conditionalFormatting>
  <conditionalFormatting sqref="T39:T40">
    <cfRule type="cellIs" dxfId="99" priority="17" operator="greaterThan">
      <formula>0</formula>
    </cfRule>
    <cfRule type="cellIs" dxfId="98" priority="16" operator="lessThan">
      <formula>0</formula>
    </cfRule>
  </conditionalFormatting>
  <conditionalFormatting sqref="U5:U13 U15:U26">
    <cfRule type="notContainsText" dxfId="97" priority="39" operator="notContains" text="○">
      <formula>ISERROR(SEARCH("○",U5))</formula>
    </cfRule>
  </conditionalFormatting>
  <conditionalFormatting sqref="U27:U32">
    <cfRule type="containsText" dxfId="96" priority="31" operator="containsText" text="△">
      <formula>NOT(ISERROR(SEARCH("△",U27)))</formula>
    </cfRule>
    <cfRule type="containsText" dxfId="95" priority="30" operator="containsText" text="▽">
      <formula>NOT(ISERROR(SEARCH("▽",U27)))</formula>
    </cfRule>
  </conditionalFormatting>
  <conditionalFormatting sqref="U34">
    <cfRule type="notContainsText" dxfId="94" priority="57" operator="notContains" text="○">
      <formula>ISERROR(SEARCH("○",U34))</formula>
    </cfRule>
  </conditionalFormatting>
  <conditionalFormatting sqref="U39:U40">
    <cfRule type="containsText" dxfId="93" priority="35" operator="containsText" text="▽">
      <formula>NOT(ISERROR(SEARCH("▽",U39)))</formula>
    </cfRule>
    <cfRule type="containsText" dxfId="92" priority="33" operator="containsText" text="△">
      <formula>NOT(ISERROR(SEARCH("△",U39)))</formula>
    </cfRule>
  </conditionalFormatting>
  <conditionalFormatting sqref="U42">
    <cfRule type="containsText" dxfId="91" priority="34" operator="containsText" text="▽">
      <formula>NOT(ISERROR(SEARCH("▽",U42)))</formula>
    </cfRule>
    <cfRule type="containsText" dxfId="90" priority="32" operator="containsText" text="△">
      <formula>NOT(ISERROR(SEARCH("△",U42)))</formula>
    </cfRule>
  </conditionalFormatting>
  <conditionalFormatting sqref="V40:X40">
    <cfRule type="cellIs" dxfId="89" priority="37" operator="lessThan">
      <formula>17</formula>
    </cfRule>
  </conditionalFormatting>
  <conditionalFormatting sqref="Y40">
    <cfRule type="cellIs" dxfId="88" priority="38" operator="lessThan">
      <formula>68</formula>
    </cfRule>
  </conditionalFormatting>
  <conditionalFormatting sqref="Y41">
    <cfRule type="cellIs" dxfId="87" priority="1" operator="notEqual">
      <formula>136</formula>
    </cfRule>
  </conditionalFormatting>
  <conditionalFormatting sqref="Z18">
    <cfRule type="cellIs" dxfId="86" priority="42" operator="greaterThan">
      <formula>0</formula>
    </cfRule>
  </conditionalFormatting>
  <conditionalFormatting sqref="AF24:AF26">
    <cfRule type="containsText" dxfId="85" priority="24" operator="containsText" text="0">
      <formula>NOT(ISERROR(SEARCH("0",AF24)))</formula>
    </cfRule>
  </conditionalFormatting>
  <dataValidations count="1">
    <dataValidation type="list" allowBlank="1" showInputMessage="1" showErrorMessage="1" sqref="C27:C32" xr:uid="{00000000-0002-0000-0200-000000000000}">
      <formula1>$AF$5:$AF$22</formula1>
    </dataValidation>
  </dataValidations>
  <printOptions horizontalCentered="1" verticalCentered="1"/>
  <pageMargins left="0.39347222447395325" right="0.39347222447395325" top="0.39347222447395325" bottom="0.39347222447395325" header="0" footer="0"/>
  <pageSetup paperSize="9" scale="60" orientation="landscape" r:id="rId1"/>
  <ignoredErrors>
    <ignoredError sqref="Q13:Q26" formulaRange="1"/>
    <ignoredError sqref="R13 U13 H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7F16-974B-479D-93A3-B46D1BBE196B}">
  <sheetPr>
    <pageSetUpPr fitToPage="1"/>
  </sheetPr>
  <dimension ref="A1:AJ44"/>
  <sheetViews>
    <sheetView tabSelected="1" zoomScaleNormal="100" zoomScaleSheetLayoutView="75" workbookViewId="0">
      <selection activeCell="M49" sqref="M49"/>
    </sheetView>
  </sheetViews>
  <sheetFormatPr defaultColWidth="8.75" defaultRowHeight="16.5" x14ac:dyDescent="0.3"/>
  <cols>
    <col min="1" max="2" width="7.625" style="263" customWidth="1"/>
    <col min="3" max="3" width="10.375" style="263" customWidth="1"/>
    <col min="4" max="4" width="5.625" style="263" customWidth="1"/>
    <col min="5" max="5" width="8.25" style="263" bestFit="1" customWidth="1"/>
    <col min="6" max="6" width="5.75" style="263" bestFit="1" customWidth="1"/>
    <col min="7" max="8" width="5.375" style="263" customWidth="1"/>
    <col min="9" max="15" width="5.625" style="263" customWidth="1"/>
    <col min="16" max="16" width="4.875" style="263" customWidth="1"/>
    <col min="17" max="17" width="6.25" style="263" customWidth="1"/>
    <col min="18" max="18" width="6.25" style="266" customWidth="1"/>
    <col min="19" max="19" width="7.75" style="263" customWidth="1"/>
    <col min="20" max="20" width="6.25" style="263" customWidth="1"/>
    <col min="21" max="21" width="7.25" style="263" customWidth="1"/>
    <col min="22" max="22" width="8" style="263" customWidth="1"/>
    <col min="23" max="24" width="6.625" style="263" customWidth="1"/>
    <col min="25" max="25" width="8.625" style="266" customWidth="1"/>
    <col min="26" max="26" width="5.5" style="266" customWidth="1"/>
    <col min="27" max="27" width="7.5" style="266" customWidth="1"/>
    <col min="28" max="29" width="5.5" style="266" customWidth="1"/>
    <col min="30" max="30" width="7.5" style="263" customWidth="1"/>
    <col min="31" max="31" width="11.125" style="263" hidden="1" customWidth="1"/>
    <col min="32" max="32" width="8" style="263" hidden="1" customWidth="1"/>
    <col min="33" max="33" width="8.75" style="263" hidden="1" customWidth="1"/>
    <col min="34" max="16384" width="8.75" style="263"/>
  </cols>
  <sheetData>
    <row r="1" spans="1:36" ht="26.25" x14ac:dyDescent="0.3">
      <c r="A1" s="768" t="s">
        <v>127</v>
      </c>
      <c r="B1" s="768"/>
      <c r="C1" s="768"/>
      <c r="D1" s="768"/>
      <c r="E1" s="769" t="s">
        <v>131</v>
      </c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261"/>
      <c r="Q1" s="261"/>
      <c r="R1" s="262"/>
      <c r="S1" s="261"/>
      <c r="T1" s="261"/>
      <c r="U1" s="261"/>
      <c r="V1" s="261"/>
      <c r="W1" s="261"/>
      <c r="X1" s="261"/>
      <c r="Y1" s="261"/>
      <c r="Z1" s="770"/>
      <c r="AA1" s="770"/>
      <c r="AB1" s="770"/>
      <c r="AC1" s="770"/>
      <c r="AD1" s="770"/>
      <c r="AE1" s="770"/>
      <c r="AF1" s="770"/>
      <c r="AG1" s="770"/>
      <c r="AH1" s="770"/>
    </row>
    <row r="2" spans="1:36" ht="17.25" thickBot="1" x14ac:dyDescent="0.35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5"/>
      <c r="S2" s="264"/>
      <c r="T2" s="264"/>
    </row>
    <row r="3" spans="1:36" ht="18.600000000000001" customHeight="1" thickTop="1" thickBot="1" x14ac:dyDescent="0.35">
      <c r="A3" s="771" t="s">
        <v>38</v>
      </c>
      <c r="B3" s="772"/>
      <c r="C3" s="772"/>
      <c r="D3" s="772"/>
      <c r="E3" s="773"/>
      <c r="F3" s="777" t="s">
        <v>50</v>
      </c>
      <c r="G3" s="779" t="s">
        <v>87</v>
      </c>
      <c r="H3" s="772"/>
      <c r="I3" s="781" t="s">
        <v>33</v>
      </c>
      <c r="J3" s="782"/>
      <c r="K3" s="783"/>
      <c r="L3" s="784" t="s">
        <v>43</v>
      </c>
      <c r="M3" s="784"/>
      <c r="N3" s="785" t="s">
        <v>30</v>
      </c>
      <c r="O3" s="786"/>
      <c r="P3" s="787" t="s">
        <v>88</v>
      </c>
      <c r="Q3" s="810" t="s">
        <v>74</v>
      </c>
      <c r="R3" s="812" t="s">
        <v>129</v>
      </c>
      <c r="S3" s="814" t="s">
        <v>90</v>
      </c>
      <c r="T3" s="816" t="s">
        <v>67</v>
      </c>
      <c r="U3" s="795" t="s">
        <v>17</v>
      </c>
      <c r="V3" s="789" t="s">
        <v>10</v>
      </c>
      <c r="W3" s="791" t="s">
        <v>57</v>
      </c>
      <c r="X3" s="791" t="s">
        <v>62</v>
      </c>
      <c r="Y3" s="793" t="s">
        <v>15</v>
      </c>
      <c r="Z3" s="263"/>
      <c r="AA3" s="263"/>
      <c r="AB3" s="263"/>
      <c r="AC3" s="263"/>
    </row>
    <row r="4" spans="1:36" ht="28.5" customHeight="1" thickBot="1" x14ac:dyDescent="0.35">
      <c r="A4" s="774"/>
      <c r="B4" s="775"/>
      <c r="C4" s="775"/>
      <c r="D4" s="775"/>
      <c r="E4" s="776"/>
      <c r="F4" s="778"/>
      <c r="G4" s="780"/>
      <c r="H4" s="775"/>
      <c r="I4" s="267" t="s">
        <v>91</v>
      </c>
      <c r="J4" s="268" t="s">
        <v>92</v>
      </c>
      <c r="K4" s="269" t="s">
        <v>81</v>
      </c>
      <c r="L4" s="270" t="s">
        <v>70</v>
      </c>
      <c r="M4" s="271" t="s">
        <v>69</v>
      </c>
      <c r="N4" s="272" t="s">
        <v>70</v>
      </c>
      <c r="O4" s="273" t="s">
        <v>69</v>
      </c>
      <c r="P4" s="788"/>
      <c r="Q4" s="811"/>
      <c r="R4" s="813"/>
      <c r="S4" s="815"/>
      <c r="T4" s="817"/>
      <c r="U4" s="796"/>
      <c r="V4" s="790"/>
      <c r="W4" s="792"/>
      <c r="X4" s="792"/>
      <c r="Y4" s="79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</row>
    <row r="5" spans="1:36" ht="18" customHeight="1" thickTop="1" thickBot="1" x14ac:dyDescent="0.35">
      <c r="A5" s="929" t="s">
        <v>42</v>
      </c>
      <c r="B5" s="797" t="s">
        <v>96</v>
      </c>
      <c r="C5" s="798"/>
      <c r="D5" s="798"/>
      <c r="E5" s="799"/>
      <c r="F5" s="275">
        <v>442</v>
      </c>
      <c r="G5" s="800">
        <f>SUM(J5,K5,L5,M5,N5,O5,S5)</f>
        <v>387</v>
      </c>
      <c r="H5" s="801"/>
      <c r="I5" s="276">
        <v>81</v>
      </c>
      <c r="J5" s="277">
        <v>64</v>
      </c>
      <c r="K5" s="278">
        <v>51</v>
      </c>
      <c r="L5" s="279">
        <v>68</v>
      </c>
      <c r="M5" s="280">
        <v>68</v>
      </c>
      <c r="N5" s="281">
        <v>68</v>
      </c>
      <c r="O5" s="282">
        <v>68</v>
      </c>
      <c r="P5" s="283">
        <f t="shared" ref="P5:P26" si="0">IF(ISBLANK(J5),0,1)+IF(ISBLANK(K5),0,1)+IF(ISBLANK(L5),0,1)+IF(ISBLANK(M5),0,1)+IF(ISBLANK(N5),0,1)+IF(ISBLANK(O5),0,1)</f>
        <v>6</v>
      </c>
      <c r="Q5" s="284">
        <f t="shared" ref="Q5:Q11" si="1">SUM(I5,K5,L5,M5,N5,O5)-V5</f>
        <v>-38</v>
      </c>
      <c r="R5" s="285">
        <f t="shared" ref="R5:R26" si="2">J5-I5</f>
        <v>-17</v>
      </c>
      <c r="S5" s="286">
        <f>IFERROR(VLOOKUP("국어", $C$27:$H$27, 6, FALSE), "0")+IFERROR(VLOOKUP("국어", $C$28:$H$28, 6, FALSE), "0")+IFERROR(VLOOKUP("국어", $C$29:$H$29, 6, FALSE), "0")+IFERROR(VLOOKUP("국어", $C$30:$H$30, 6, FALSE), "0")+IFERROR(VLOOKUP("국어", $C$31:$H$31, 6, FALSE), "0")+IFERROR(VLOOKUP("국어", $C$32:$H$32, 6, FALSE), "0")</f>
        <v>0</v>
      </c>
      <c r="T5" s="287">
        <f>SUM(Q5:S5)</f>
        <v>-55</v>
      </c>
      <c r="U5" s="288" t="str">
        <f>IF(AND(G5&gt;=W5,G5&lt;=X5),"○",IF(G5&lt;W5,"▽","△"))</f>
        <v>○</v>
      </c>
      <c r="V5" s="524">
        <v>442</v>
      </c>
      <c r="W5" s="289">
        <v>354</v>
      </c>
      <c r="X5" s="289">
        <v>530</v>
      </c>
      <c r="Y5" s="290">
        <v>88</v>
      </c>
      <c r="Z5" s="274"/>
      <c r="AA5" s="263"/>
      <c r="AB5" s="263"/>
      <c r="AC5" s="263"/>
      <c r="AF5" s="291" t="s">
        <v>96</v>
      </c>
    </row>
    <row r="6" spans="1:36" ht="18" customHeight="1" thickTop="1" x14ac:dyDescent="0.3">
      <c r="A6" s="915"/>
      <c r="B6" s="802" t="s">
        <v>1</v>
      </c>
      <c r="C6" s="803"/>
      <c r="D6" s="808" t="s">
        <v>44</v>
      </c>
      <c r="E6" s="809"/>
      <c r="F6" s="818">
        <v>510</v>
      </c>
      <c r="G6" s="821">
        <f>SUM(H6:H8)</f>
        <v>408</v>
      </c>
      <c r="H6" s="292">
        <f>SUM(L6,M6,N6,O6,K6,J6,S6)</f>
        <v>136</v>
      </c>
      <c r="I6" s="293">
        <v>51</v>
      </c>
      <c r="J6" s="294">
        <v>34</v>
      </c>
      <c r="K6" s="295">
        <v>34</v>
      </c>
      <c r="L6" s="296"/>
      <c r="M6" s="297"/>
      <c r="N6" s="298">
        <v>34</v>
      </c>
      <c r="O6" s="299">
        <v>34</v>
      </c>
      <c r="P6" s="300">
        <f t="shared" si="0"/>
        <v>4</v>
      </c>
      <c r="Q6" s="301">
        <f t="shared" si="1"/>
        <v>-17</v>
      </c>
      <c r="R6" s="302">
        <f t="shared" si="2"/>
        <v>-17</v>
      </c>
      <c r="S6" s="303">
        <f>IFERROR(VLOOKUP("사회", $C$27:$H$27, 6, FALSE), "0")+IFERROR(VLOOKUP("사회", $C$28:$H$28, 6, FALSE), "0")+IFERROR(VLOOKUP("사회", $C$29:$H$29, 6, FALSE), "0")+IFERROR(VLOOKUP("사회", $C$30:$H$30, 6, FALSE), "0")+IFERROR(VLOOKUP("사회", $C$31:$H$31, 6, FALSE), "0")+IFERROR(VLOOKUP("사회", $C$32:$H$32, 6, FALSE), "0")</f>
        <v>0</v>
      </c>
      <c r="T6" s="304">
        <f t="shared" ref="T6:T17" si="3">SUM(Q6:S6)</f>
        <v>-34</v>
      </c>
      <c r="U6" s="305" t="str">
        <f>IF(AND(H6&gt;=W6,H6&lt;=X6),"○",IF(H6&lt;W6,"▽","△"))</f>
        <v>○</v>
      </c>
      <c r="V6" s="525">
        <v>170</v>
      </c>
      <c r="W6" s="306">
        <v>136</v>
      </c>
      <c r="X6" s="306">
        <v>204</v>
      </c>
      <c r="Y6" s="824">
        <v>102</v>
      </c>
      <c r="Z6" s="263"/>
      <c r="AA6" s="263"/>
      <c r="AB6" s="263"/>
      <c r="AC6" s="263"/>
      <c r="AF6" s="291" t="s">
        <v>97</v>
      </c>
    </row>
    <row r="7" spans="1:36" ht="18" customHeight="1" x14ac:dyDescent="0.3">
      <c r="A7" s="915"/>
      <c r="B7" s="804"/>
      <c r="C7" s="805"/>
      <c r="D7" s="827" t="s">
        <v>36</v>
      </c>
      <c r="E7" s="828"/>
      <c r="F7" s="819"/>
      <c r="G7" s="822"/>
      <c r="H7" s="307">
        <f>SUM(L7,M7,N7,O7,K7,J7,S7)</f>
        <v>136</v>
      </c>
      <c r="I7" s="308"/>
      <c r="J7" s="309"/>
      <c r="K7" s="310"/>
      <c r="L7" s="311">
        <v>34</v>
      </c>
      <c r="M7" s="312">
        <v>34</v>
      </c>
      <c r="N7" s="313">
        <v>34</v>
      </c>
      <c r="O7" s="314">
        <v>34</v>
      </c>
      <c r="P7" s="315">
        <f t="shared" si="0"/>
        <v>4</v>
      </c>
      <c r="Q7" s="316">
        <f t="shared" si="1"/>
        <v>-34</v>
      </c>
      <c r="R7" s="317">
        <f t="shared" si="2"/>
        <v>0</v>
      </c>
      <c r="S7" s="318">
        <f>IFERROR(VLOOKUP("역사", $C$27:$H$27, 6, FALSE), "0")+IFERROR(VLOOKUP("역사", $C$28:$H$28, 6, FALSE), "0")+IFERROR(VLOOKUP("역사", $C$29:$H$29, 6, FALSE), "0")+IFERROR(VLOOKUP("역사", $C$30:$H$30, 6, FALSE), "0")+IFERROR(VLOOKUP("역사", $C$31:$H$31, 6, FALSE), "0")+IFERROR(VLOOKUP("역사", $C$32:$H$32, 6, FALSE), "0")</f>
        <v>0</v>
      </c>
      <c r="T7" s="319">
        <f t="shared" si="3"/>
        <v>-34</v>
      </c>
      <c r="U7" s="305" t="str">
        <f>IF(AND(H7&gt;=W7,H7&lt;=X7),"○",IF(H7&lt;W7,"▽","△"))</f>
        <v>○</v>
      </c>
      <c r="V7" s="526">
        <v>170</v>
      </c>
      <c r="W7" s="320">
        <v>136</v>
      </c>
      <c r="X7" s="320">
        <v>204</v>
      </c>
      <c r="Y7" s="825"/>
      <c r="Z7" s="263"/>
      <c r="AA7" s="263"/>
      <c r="AB7" s="263"/>
      <c r="AC7" s="263"/>
      <c r="AF7" s="291" t="s">
        <v>98</v>
      </c>
    </row>
    <row r="8" spans="1:36" ht="18" customHeight="1" thickBot="1" x14ac:dyDescent="0.35">
      <c r="A8" s="915"/>
      <c r="B8" s="806"/>
      <c r="C8" s="807"/>
      <c r="D8" s="829" t="s">
        <v>29</v>
      </c>
      <c r="E8" s="830"/>
      <c r="F8" s="820"/>
      <c r="G8" s="823"/>
      <c r="H8" s="321">
        <f>SUM(L8,M8,N8,O8,K8,J8,S8)</f>
        <v>136</v>
      </c>
      <c r="I8" s="322">
        <v>34</v>
      </c>
      <c r="J8" s="323">
        <v>34</v>
      </c>
      <c r="K8" s="324">
        <v>34</v>
      </c>
      <c r="L8" s="325">
        <v>34</v>
      </c>
      <c r="M8" s="326">
        <v>34</v>
      </c>
      <c r="N8" s="327"/>
      <c r="O8" s="328"/>
      <c r="P8" s="329">
        <f t="shared" si="0"/>
        <v>4</v>
      </c>
      <c r="Q8" s="330">
        <f t="shared" si="1"/>
        <v>-34</v>
      </c>
      <c r="R8" s="331">
        <f t="shared" si="2"/>
        <v>0</v>
      </c>
      <c r="S8" s="332">
        <f>IFERROR(VLOOKUP("도덕", $C$27:$H$27, 6, FALSE), "0")+IFERROR(VLOOKUP("도덕", $C$28:$H$28, 6, FALSE), "0")+IFERROR(VLOOKUP("도덕", $C$29:$H$29, 6, FALSE), "0")+IFERROR(VLOOKUP("도덕", $C$30:$H$30, 6, FALSE), "0")+IFERROR(VLOOKUP("도덕", $C$31:$H$31, 6, FALSE), "0")+IFERROR(VLOOKUP("도덕", $C$32:$H$32, 6, FALSE), "0")</f>
        <v>0</v>
      </c>
      <c r="T8" s="333">
        <f t="shared" si="3"/>
        <v>-34</v>
      </c>
      <c r="U8" s="305" t="str">
        <f>IF(AND(H8&gt;=W8,H8&lt;=X8),"○",IF(H8&lt;W8,"▽","△"))</f>
        <v>○</v>
      </c>
      <c r="V8" s="527">
        <v>170</v>
      </c>
      <c r="W8" s="334">
        <v>136</v>
      </c>
      <c r="X8" s="334">
        <v>204</v>
      </c>
      <c r="Y8" s="826"/>
      <c r="Z8" s="263"/>
      <c r="AA8" s="263"/>
      <c r="AB8" s="263"/>
      <c r="AC8" s="263"/>
      <c r="AF8" s="291" t="s">
        <v>99</v>
      </c>
    </row>
    <row r="9" spans="1:36" ht="18" customHeight="1" thickTop="1" thickBot="1" x14ac:dyDescent="0.35">
      <c r="A9" s="915"/>
      <c r="B9" s="797" t="s">
        <v>34</v>
      </c>
      <c r="C9" s="798"/>
      <c r="D9" s="798"/>
      <c r="E9" s="799"/>
      <c r="F9" s="275">
        <v>374</v>
      </c>
      <c r="G9" s="800">
        <f>SUM(J9,K9,L9,M9,N9,O9,S9)</f>
        <v>387</v>
      </c>
      <c r="H9" s="801"/>
      <c r="I9" s="276">
        <v>64</v>
      </c>
      <c r="J9" s="277">
        <v>47</v>
      </c>
      <c r="K9" s="278">
        <v>68</v>
      </c>
      <c r="L9" s="279">
        <v>68</v>
      </c>
      <c r="M9" s="280">
        <v>68</v>
      </c>
      <c r="N9" s="335">
        <v>68</v>
      </c>
      <c r="O9" s="282">
        <v>68</v>
      </c>
      <c r="P9" s="283">
        <f t="shared" si="0"/>
        <v>6</v>
      </c>
      <c r="Q9" s="284">
        <f t="shared" si="1"/>
        <v>30</v>
      </c>
      <c r="R9" s="285">
        <f t="shared" si="2"/>
        <v>-17</v>
      </c>
      <c r="S9" s="286">
        <f>IFERROR(VLOOKUP("수학", $C$27:$H$27, 6, FALSE), "0")+IFERROR(VLOOKUP("수학", $C$28:$H$28, 6, FALSE), "0")+IFERROR(VLOOKUP("수학", $C$29:$H$29, 6, FALSE), "0")+IFERROR(VLOOKUP("수학", $C$30:$H$30, 6, FALSE), "0")+IFERROR(VLOOKUP("수학", $C$31:$H$31, 6, FALSE), "0")+IFERROR(VLOOKUP("수학", $C$32:$H$32, 6, FALSE), "0")</f>
        <v>0</v>
      </c>
      <c r="T9" s="287">
        <f t="shared" si="3"/>
        <v>13</v>
      </c>
      <c r="U9" s="288" t="str">
        <f>IF(AND(G9&gt;=W9,G9&lt;=X9),"○",IF(G9&lt;W9,"▽","△"))</f>
        <v>○</v>
      </c>
      <c r="V9" s="524">
        <v>374</v>
      </c>
      <c r="W9" s="336">
        <v>300</v>
      </c>
      <c r="X9" s="336">
        <v>448</v>
      </c>
      <c r="Y9" s="337">
        <v>74</v>
      </c>
      <c r="Z9" s="263"/>
      <c r="AA9" s="263"/>
      <c r="AB9" s="263"/>
      <c r="AC9" s="263"/>
      <c r="AF9" s="291" t="s">
        <v>100</v>
      </c>
    </row>
    <row r="10" spans="1:36" ht="18" customHeight="1" thickTop="1" x14ac:dyDescent="0.3">
      <c r="A10" s="915"/>
      <c r="B10" s="802" t="s">
        <v>2</v>
      </c>
      <c r="C10" s="803"/>
      <c r="D10" s="808" t="s">
        <v>25</v>
      </c>
      <c r="E10" s="809"/>
      <c r="F10" s="818">
        <v>680</v>
      </c>
      <c r="G10" s="821">
        <f>SUM(H10:H12)</f>
        <v>675</v>
      </c>
      <c r="H10" s="338">
        <f>SUM(L10,M10,N10,O10,K10,J10,S10)</f>
        <v>337</v>
      </c>
      <c r="I10" s="339">
        <v>48</v>
      </c>
      <c r="J10" s="340">
        <v>31</v>
      </c>
      <c r="K10" s="341">
        <v>68</v>
      </c>
      <c r="L10" s="342">
        <v>51</v>
      </c>
      <c r="M10" s="343">
        <v>51</v>
      </c>
      <c r="N10" s="344">
        <v>68</v>
      </c>
      <c r="O10" s="345">
        <v>68</v>
      </c>
      <c r="P10" s="300">
        <f t="shared" si="0"/>
        <v>6</v>
      </c>
      <c r="Q10" s="301">
        <f t="shared" si="1"/>
        <v>-20</v>
      </c>
      <c r="R10" s="346">
        <f t="shared" si="2"/>
        <v>-17</v>
      </c>
      <c r="S10" s="303">
        <f>IFERROR(VLOOKUP("과학", $C$27:$H$27, 6, FALSE), "0")+IFERROR(VLOOKUP("과학", $C$28:$H$28, 6, FALSE), "0")+IFERROR(VLOOKUP("과학", $C$29:$H$29, 6, FALSE), "0")+IFERROR(VLOOKUP("과학", $C$30:$H$30, 6, FALSE), "0")+IFERROR(VLOOKUP("과학", $C$31:$H$31, 6, FALSE), "0")+IFERROR(VLOOKUP("과학", $C$32:$H$32, 6, FALSE), "0")</f>
        <v>0</v>
      </c>
      <c r="T10" s="304">
        <f t="shared" si="3"/>
        <v>-37</v>
      </c>
      <c r="U10" s="305" t="str">
        <f>IF(AND(H10&gt;=W10,H10&lt;=X10),"○",IF(H10&lt;W10,"▽","△"))</f>
        <v>○</v>
      </c>
      <c r="V10" s="525">
        <v>374</v>
      </c>
      <c r="W10" s="306">
        <v>300</v>
      </c>
      <c r="X10" s="306">
        <v>448</v>
      </c>
      <c r="Y10" s="824">
        <v>136</v>
      </c>
      <c r="Z10" s="263"/>
      <c r="AA10" s="263"/>
      <c r="AB10" s="263"/>
      <c r="AC10" s="263"/>
      <c r="AF10" s="291" t="s">
        <v>101</v>
      </c>
    </row>
    <row r="11" spans="1:36" ht="18" customHeight="1" x14ac:dyDescent="0.3">
      <c r="A11" s="915"/>
      <c r="B11" s="804"/>
      <c r="C11" s="805"/>
      <c r="D11" s="827" t="s">
        <v>102</v>
      </c>
      <c r="E11" s="828"/>
      <c r="F11" s="819"/>
      <c r="G11" s="822"/>
      <c r="H11" s="347">
        <f>SUM(L11,M11,N11,O11,K11,J11,S11)</f>
        <v>270</v>
      </c>
      <c r="I11" s="348">
        <v>32</v>
      </c>
      <c r="J11" s="349">
        <v>32</v>
      </c>
      <c r="K11" s="350">
        <v>51</v>
      </c>
      <c r="L11" s="351">
        <v>51</v>
      </c>
      <c r="M11" s="352">
        <v>34</v>
      </c>
      <c r="N11" s="353">
        <v>51</v>
      </c>
      <c r="O11" s="354">
        <v>51</v>
      </c>
      <c r="P11" s="315">
        <f t="shared" si="0"/>
        <v>6</v>
      </c>
      <c r="Q11" s="316">
        <f t="shared" si="1"/>
        <v>-2</v>
      </c>
      <c r="R11" s="317">
        <f t="shared" si="2"/>
        <v>0</v>
      </c>
      <c r="S11" s="318">
        <f>IFERROR(VLOOKUP("기술·가정", $C$27:$H$27, 6, FALSE), "0")+IFERROR(VLOOKUP("기술·가정", $C$28:$H$28, 6, FALSE), "0")+IFERROR(VLOOKUP("기술·가정", $C$29:$H$29, 6, FALSE), "0")+IFERROR(VLOOKUP("기술·가정", $C$30:$H$30, 6, FALSE), "0")+IFERROR(VLOOKUP("기술·가정", $C$31:$H$31, 6, FALSE), "0")+IFERROR(VLOOKUP("기술·가정", $C$32:$H$32, 6, FALSE), "0")</f>
        <v>0</v>
      </c>
      <c r="T11" s="319">
        <f t="shared" si="3"/>
        <v>-2</v>
      </c>
      <c r="U11" s="305" t="str">
        <f>IF(AND(H11&gt;=W11,H11&lt;=X11),"○",IF(H11&lt;W11,"▽","△"))</f>
        <v>○</v>
      </c>
      <c r="V11" s="526">
        <v>272</v>
      </c>
      <c r="W11" s="320">
        <v>218</v>
      </c>
      <c r="X11" s="320">
        <v>326</v>
      </c>
      <c r="Y11" s="825"/>
      <c r="Z11" s="263"/>
      <c r="AA11" s="263"/>
      <c r="AB11" s="263"/>
      <c r="AC11" s="263"/>
      <c r="AF11" s="291" t="s">
        <v>102</v>
      </c>
    </row>
    <row r="12" spans="1:36" ht="18" customHeight="1" thickBot="1" x14ac:dyDescent="0.35">
      <c r="A12" s="915"/>
      <c r="B12" s="806"/>
      <c r="C12" s="807"/>
      <c r="D12" s="829" t="s">
        <v>37</v>
      </c>
      <c r="E12" s="830"/>
      <c r="F12" s="820"/>
      <c r="G12" s="823"/>
      <c r="H12" s="307">
        <f>SUM(L12,M12,N12,O12,K12,J12,S12)</f>
        <v>68</v>
      </c>
      <c r="I12" s="355">
        <v>17</v>
      </c>
      <c r="J12" s="356">
        <v>17</v>
      </c>
      <c r="K12" s="357">
        <v>17</v>
      </c>
      <c r="L12" s="358">
        <v>17</v>
      </c>
      <c r="M12" s="359">
        <v>17</v>
      </c>
      <c r="N12" s="360"/>
      <c r="O12" s="361"/>
      <c r="P12" s="329">
        <f t="shared" si="0"/>
        <v>4</v>
      </c>
      <c r="Q12" s="330">
        <f>SUM(I12,K12,L12,M12,N12,O12)-34</f>
        <v>34</v>
      </c>
      <c r="R12" s="362">
        <f t="shared" si="2"/>
        <v>0</v>
      </c>
      <c r="S12" s="332">
        <f>IFERROR(VLOOKUP("정보", $C$27:$H$27, 6, FALSE), "0")+IFERROR(VLOOKUP("정보", $C$28:$H$28, 6, FALSE), "0")+IFERROR(VLOOKUP("정보", $C$29:$H$29, 6, FALSE), "0")+IFERROR(VLOOKUP("정보", $C$30:$H$30, 6, FALSE), "0")+IFERROR(VLOOKUP("정보", $C$31:$H$31, 6, FALSE), "0")+IFERROR(VLOOKUP("정보", $C$32:$H$32, 6, FALSE), "0")</f>
        <v>0</v>
      </c>
      <c r="T12" s="333">
        <f t="shared" si="3"/>
        <v>34</v>
      </c>
      <c r="U12" s="363" t="str">
        <f>IF(AND(H12&gt;=W12,H12&lt;=X12),"○",IF(H12&lt;W12,"▽","△"))</f>
        <v>○</v>
      </c>
      <c r="V12" s="527">
        <v>68</v>
      </c>
      <c r="W12" s="334">
        <v>68</v>
      </c>
      <c r="X12" s="334">
        <v>81</v>
      </c>
      <c r="Y12" s="826"/>
      <c r="Z12" s="263"/>
      <c r="AA12" s="263"/>
      <c r="AB12" s="263"/>
      <c r="AC12" s="263"/>
      <c r="AF12" s="291" t="s">
        <v>103</v>
      </c>
    </row>
    <row r="13" spans="1:36" ht="18" customHeight="1" thickTop="1" x14ac:dyDescent="0.3">
      <c r="A13" s="915"/>
      <c r="B13" s="802" t="s">
        <v>27</v>
      </c>
      <c r="C13" s="803"/>
      <c r="D13" s="837" t="s">
        <v>27</v>
      </c>
      <c r="E13" s="838"/>
      <c r="F13" s="818">
        <v>272</v>
      </c>
      <c r="G13" s="839">
        <f>SUM(H13:H14)</f>
        <v>306</v>
      </c>
      <c r="H13" s="338">
        <f>SUM(L13,M13,N13,O13,K13,J13,S13)</f>
        <v>272</v>
      </c>
      <c r="I13" s="364">
        <v>51</v>
      </c>
      <c r="J13" s="365">
        <v>51</v>
      </c>
      <c r="K13" s="366">
        <v>51</v>
      </c>
      <c r="L13" s="367">
        <v>51</v>
      </c>
      <c r="M13" s="368">
        <v>51</v>
      </c>
      <c r="N13" s="369">
        <v>34</v>
      </c>
      <c r="O13" s="370">
        <v>34</v>
      </c>
      <c r="P13" s="371">
        <f t="shared" si="0"/>
        <v>6</v>
      </c>
      <c r="Q13" s="841">
        <f>SUM(I13:I14,K13:K14,L13:L14,M13:M14,N13:N14,O13:O14)-V13</f>
        <v>34</v>
      </c>
      <c r="R13" s="843">
        <f>J13+J14-I13-I14</f>
        <v>0</v>
      </c>
      <c r="S13" s="831">
        <f>IFERROR(VLOOKUP("체육", $C$27:$H$27, 6, FALSE), "0")+IFERROR(VLOOKUP("체육", $C$28:$H$28, 6, FALSE), "0")+IFERROR(VLOOKUP("체육", $C$29:$H$29, 6, FALSE), "0")+IFERROR(VLOOKUP("체육", $C$30:$H$30, 6, FALSE), "0")+IFERROR(VLOOKUP("체육", $C$31:$H$31, 6, FALSE), "0")+IFERROR(VLOOKUP("체육", $C$32:$H$32, 6, FALSE), "0")</f>
        <v>0</v>
      </c>
      <c r="T13" s="833">
        <f>SUM(Q13:S13)</f>
        <v>34</v>
      </c>
      <c r="U13" s="835" t="str">
        <f>IF(AND(G13&gt;=W13,G13&lt;=X13),"○",IF(G13&lt;W13,"▽","△"))</f>
        <v>○</v>
      </c>
      <c r="V13" s="845">
        <v>272</v>
      </c>
      <c r="W13" s="848">
        <v>272</v>
      </c>
      <c r="X13" s="848">
        <v>326</v>
      </c>
      <c r="Y13" s="824"/>
      <c r="Z13" s="263"/>
      <c r="AA13" s="263"/>
      <c r="AB13" s="263"/>
      <c r="AC13" s="263"/>
      <c r="AF13" s="291" t="s">
        <v>104</v>
      </c>
    </row>
    <row r="14" spans="1:36" ht="18" customHeight="1" thickBot="1" x14ac:dyDescent="0.35">
      <c r="A14" s="915"/>
      <c r="B14" s="806"/>
      <c r="C14" s="807"/>
      <c r="D14" s="853" t="s">
        <v>105</v>
      </c>
      <c r="E14" s="854"/>
      <c r="F14" s="820"/>
      <c r="G14" s="840"/>
      <c r="H14" s="307">
        <f>SUM(L14,M14,N14,O14,K14,J14)</f>
        <v>34</v>
      </c>
      <c r="I14" s="355"/>
      <c r="J14" s="356"/>
      <c r="K14" s="357"/>
      <c r="L14" s="358"/>
      <c r="M14" s="359"/>
      <c r="N14" s="360">
        <v>17</v>
      </c>
      <c r="O14" s="361">
        <v>17</v>
      </c>
      <c r="P14" s="329">
        <f t="shared" si="0"/>
        <v>2</v>
      </c>
      <c r="Q14" s="842"/>
      <c r="R14" s="844"/>
      <c r="S14" s="832"/>
      <c r="T14" s="834"/>
      <c r="U14" s="836"/>
      <c r="V14" s="847"/>
      <c r="W14" s="850"/>
      <c r="X14" s="850"/>
      <c r="Y14" s="826"/>
      <c r="Z14" s="263"/>
      <c r="AA14" s="263"/>
      <c r="AB14" s="263"/>
      <c r="AC14" s="263"/>
      <c r="AF14" s="291" t="s">
        <v>106</v>
      </c>
    </row>
    <row r="15" spans="1:36" ht="18" customHeight="1" thickTop="1" x14ac:dyDescent="0.3">
      <c r="A15" s="915"/>
      <c r="B15" s="802" t="s">
        <v>13</v>
      </c>
      <c r="C15" s="803"/>
      <c r="D15" s="808" t="s">
        <v>39</v>
      </c>
      <c r="E15" s="809"/>
      <c r="F15" s="818">
        <v>272</v>
      </c>
      <c r="G15" s="821">
        <f>SUM(H15:H16)</f>
        <v>272</v>
      </c>
      <c r="H15" s="372">
        <f>SUM(L15,M15,N15,O15,K15,J15,S15)</f>
        <v>136</v>
      </c>
      <c r="I15" s="339">
        <v>17</v>
      </c>
      <c r="J15" s="340">
        <v>17</v>
      </c>
      <c r="K15" s="341">
        <v>17</v>
      </c>
      <c r="L15" s="342">
        <v>17</v>
      </c>
      <c r="M15" s="343">
        <v>17</v>
      </c>
      <c r="N15" s="344">
        <v>34</v>
      </c>
      <c r="O15" s="345">
        <v>34</v>
      </c>
      <c r="P15" s="373">
        <f t="shared" si="0"/>
        <v>6</v>
      </c>
      <c r="Q15" s="374">
        <f>SUM(I15,K15,L15,M15,N15,O15)-V15</f>
        <v>0</v>
      </c>
      <c r="R15" s="375">
        <f t="shared" si="2"/>
        <v>0</v>
      </c>
      <c r="S15" s="376">
        <f>IFERROR(VLOOKUP("음악", $C$27:$H$27, 6, FALSE), "0")+IFERROR(VLOOKUP("음악", $C$28:$H$28, 6, FALSE), "0")+IFERROR(VLOOKUP("음악", $C$29:$H$29, 6, FALSE), "0")+IFERROR(VLOOKUP("음악", $C$30:$H$30, 6, FALSE), "0")+IFERROR(VLOOKUP("음악", $C$31:$H$31, 6, FALSE), "0")+IFERROR(VLOOKUP("음악", $C$32:$H$32, 6, FALSE), "0")</f>
        <v>0</v>
      </c>
      <c r="T15" s="304">
        <f t="shared" si="3"/>
        <v>0</v>
      </c>
      <c r="U15" s="377" t="str">
        <f>IF(AND(H15&gt;=W15,H15&lt;=X15),"○",IF(H15&lt;W15,"▽","△"))</f>
        <v>○</v>
      </c>
      <c r="V15" s="528">
        <v>136</v>
      </c>
      <c r="W15" s="378">
        <v>136</v>
      </c>
      <c r="X15" s="378">
        <v>163</v>
      </c>
      <c r="Y15" s="379"/>
      <c r="Z15" s="263"/>
      <c r="AA15" s="263"/>
      <c r="AB15" s="263"/>
      <c r="AC15" s="263"/>
      <c r="AF15" s="291" t="s">
        <v>107</v>
      </c>
    </row>
    <row r="16" spans="1:36" ht="18" customHeight="1" thickBot="1" x14ac:dyDescent="0.35">
      <c r="A16" s="915"/>
      <c r="B16" s="806"/>
      <c r="C16" s="807"/>
      <c r="D16" s="829" t="s">
        <v>32</v>
      </c>
      <c r="E16" s="830"/>
      <c r="F16" s="820"/>
      <c r="G16" s="823"/>
      <c r="H16" s="380">
        <f>SUM(L16,M16,N16,O16,K16,J16,S16)</f>
        <v>136</v>
      </c>
      <c r="I16" s="355">
        <v>17</v>
      </c>
      <c r="J16" s="356">
        <v>17</v>
      </c>
      <c r="K16" s="357">
        <v>17</v>
      </c>
      <c r="L16" s="358">
        <v>34</v>
      </c>
      <c r="M16" s="359">
        <v>34</v>
      </c>
      <c r="N16" s="360">
        <v>17</v>
      </c>
      <c r="O16" s="361">
        <v>17</v>
      </c>
      <c r="P16" s="329">
        <f t="shared" si="0"/>
        <v>6</v>
      </c>
      <c r="Q16" s="381">
        <f>SUM(I16,K16,L16,M16,N16,O16)-V16</f>
        <v>0</v>
      </c>
      <c r="R16" s="362">
        <f t="shared" si="2"/>
        <v>0</v>
      </c>
      <c r="S16" s="332">
        <f>IFERROR(VLOOKUP("미술", $C$27:$H$27, 6, FALSE), "0")+IFERROR(VLOOKUP("미술", $C$28:$H$28, 6, FALSE), "0")+IFERROR(VLOOKUP("미술", $C$29:$H$29, 6, FALSE), "0")+IFERROR(VLOOKUP("미술", $C$30:$H$30, 6, FALSE), "0")+IFERROR(VLOOKUP("미술", $C$31:$H$31, 6, FALSE), "0")+IFERROR(VLOOKUP("미술", $C$32:$H$32, 6, FALSE), "0")</f>
        <v>0</v>
      </c>
      <c r="T16" s="382">
        <f t="shared" si="3"/>
        <v>0</v>
      </c>
      <c r="U16" s="305" t="str">
        <f>IF(AND(H16&gt;=W16,H16&lt;=X16),"○",IF(H16&lt;W16,"▽","△"))</f>
        <v>○</v>
      </c>
      <c r="V16" s="527">
        <v>136</v>
      </c>
      <c r="W16" s="334">
        <v>136</v>
      </c>
      <c r="X16" s="334">
        <v>163</v>
      </c>
      <c r="Y16" s="383"/>
      <c r="Z16" s="263"/>
      <c r="AA16" s="263"/>
      <c r="AB16" s="263"/>
      <c r="AC16" s="263"/>
      <c r="AF16" s="291" t="s">
        <v>108</v>
      </c>
    </row>
    <row r="17" spans="1:34" ht="18" customHeight="1" thickTop="1" thickBot="1" x14ac:dyDescent="0.35">
      <c r="A17" s="915"/>
      <c r="B17" s="797" t="s">
        <v>28</v>
      </c>
      <c r="C17" s="798"/>
      <c r="D17" s="798"/>
      <c r="E17" s="799"/>
      <c r="F17" s="275">
        <v>340</v>
      </c>
      <c r="G17" s="800">
        <f>SUM(J17,K17,L17,M17,N17,O17,S17)</f>
        <v>302</v>
      </c>
      <c r="H17" s="801"/>
      <c r="I17" s="276">
        <v>64</v>
      </c>
      <c r="J17" s="277">
        <v>47</v>
      </c>
      <c r="K17" s="278">
        <v>51</v>
      </c>
      <c r="L17" s="279">
        <v>51</v>
      </c>
      <c r="M17" s="280">
        <v>51</v>
      </c>
      <c r="N17" s="335">
        <v>51</v>
      </c>
      <c r="O17" s="282">
        <v>51</v>
      </c>
      <c r="P17" s="283">
        <f t="shared" si="0"/>
        <v>6</v>
      </c>
      <c r="Q17" s="284">
        <f>SUM(I17,K17,L17,M17,N17,O17)-V17</f>
        <v>-21</v>
      </c>
      <c r="R17" s="285">
        <f t="shared" si="2"/>
        <v>-17</v>
      </c>
      <c r="S17" s="286">
        <f>IFERROR(VLOOKUP("영어", $C$27:$H$27, 6, FALSE), "0")+IFERROR(VLOOKUP("영어", $C$28:$H$28, 6, FALSE), "0")+IFERROR(VLOOKUP("영어", $C$29:$H$29, 6, FALSE), "0")+IFERROR(VLOOKUP("영어", $C$30:$H$30, 6, FALSE), "0")+IFERROR(VLOOKUP("영어", $C$31:$H$31, 6, FALSE), "0")+IFERROR(VLOOKUP("영어", $C$32:$H$32, 6, FALSE), "0")</f>
        <v>0</v>
      </c>
      <c r="T17" s="287">
        <f t="shared" si="3"/>
        <v>-38</v>
      </c>
      <c r="U17" s="288" t="str">
        <f>IF(AND(G17&gt;=W17,G17&lt;=X17),"○",IF(G17&lt;W17,"▽","△"))</f>
        <v>○</v>
      </c>
      <c r="V17" s="524">
        <v>340</v>
      </c>
      <c r="W17" s="336">
        <v>272</v>
      </c>
      <c r="X17" s="336">
        <v>408</v>
      </c>
      <c r="Y17" s="337">
        <v>68</v>
      </c>
      <c r="Z17" s="263"/>
      <c r="AA17" s="263"/>
      <c r="AB17" s="263"/>
      <c r="AC17" s="263"/>
      <c r="AF17" s="291" t="s">
        <v>35</v>
      </c>
    </row>
    <row r="18" spans="1:34" ht="18" customHeight="1" thickTop="1" x14ac:dyDescent="0.3">
      <c r="A18" s="915"/>
      <c r="B18" s="802" t="s">
        <v>23</v>
      </c>
      <c r="C18" s="803"/>
      <c r="D18" s="808" t="s">
        <v>35</v>
      </c>
      <c r="E18" s="809"/>
      <c r="F18" s="818">
        <v>170</v>
      </c>
      <c r="G18" s="839">
        <f>SUM(H18:H26)</f>
        <v>187</v>
      </c>
      <c r="H18" s="338">
        <f t="shared" ref="H18:H25" si="4">SUM(L18,M18,N18,O18,K18,J18,S18)</f>
        <v>0</v>
      </c>
      <c r="I18" s="339"/>
      <c r="J18" s="340"/>
      <c r="K18" s="341"/>
      <c r="L18" s="342"/>
      <c r="M18" s="343"/>
      <c r="N18" s="344"/>
      <c r="O18" s="345"/>
      <c r="P18" s="300">
        <f t="shared" si="0"/>
        <v>0</v>
      </c>
      <c r="Q18" s="841">
        <f>SUM(I18:I26,K18:K26,L18:O26)-V18</f>
        <v>-17</v>
      </c>
      <c r="R18" s="302">
        <f t="shared" si="2"/>
        <v>0</v>
      </c>
      <c r="S18" s="384">
        <f>IFERROR(VLOOKUP("한문", $C$27:$H$27, 6, FALSE), "0")+IFERROR(VLOOKUP("한문", $C$28:$H$28, 6, FALSE), "0")+IFERROR(VLOOKUP("한문", $C$29:$H$29, 6, FALSE), "0")+IFERROR(VLOOKUP("한문", $C$30:$H$30, 6, FALSE), "0")+IFERROR(VLOOKUP("한문", $C$31:$H$31, 6, FALSE), "0")+IFERROR(VLOOKUP("한문", $C$32:$H$32, 6, FALSE), "0")</f>
        <v>0</v>
      </c>
      <c r="T18" s="871">
        <f>SUM(Q18:S26)</f>
        <v>17</v>
      </c>
      <c r="U18" s="835" t="str">
        <f>IF(AND(G18&gt;=W18,G18&lt;=X18),"○",IF(G18&lt;W18,"▽","△"))</f>
        <v>○</v>
      </c>
      <c r="V18" s="845">
        <v>170</v>
      </c>
      <c r="W18" s="848">
        <v>136</v>
      </c>
      <c r="X18" s="848">
        <v>204</v>
      </c>
      <c r="Y18" s="824">
        <v>34</v>
      </c>
      <c r="Z18" s="263"/>
      <c r="AA18" s="263"/>
      <c r="AB18" s="263"/>
      <c r="AC18" s="263"/>
      <c r="AF18" s="385" t="s">
        <v>53</v>
      </c>
    </row>
    <row r="19" spans="1:34" ht="18" customHeight="1" x14ac:dyDescent="0.3">
      <c r="A19" s="915"/>
      <c r="B19" s="804"/>
      <c r="C19" s="805"/>
      <c r="D19" s="827" t="s">
        <v>53</v>
      </c>
      <c r="E19" s="828"/>
      <c r="F19" s="819"/>
      <c r="G19" s="855"/>
      <c r="H19" s="347">
        <f t="shared" si="4"/>
        <v>0</v>
      </c>
      <c r="I19" s="348"/>
      <c r="J19" s="349"/>
      <c r="K19" s="350"/>
      <c r="L19" s="351"/>
      <c r="M19" s="352"/>
      <c r="N19" s="353"/>
      <c r="O19" s="354"/>
      <c r="P19" s="315">
        <f t="shared" si="0"/>
        <v>0</v>
      </c>
      <c r="Q19" s="870"/>
      <c r="R19" s="317">
        <f t="shared" si="2"/>
        <v>0</v>
      </c>
      <c r="S19" s="386">
        <f>IFERROR(VLOOKUP("생활 외국어", $C$27:$H$27, 6, FALSE), "0")+IFERROR(VLOOKUP("생활 외국어", $C$28:$H$28, 6, FALSE), "0")+IFERROR(VLOOKUP("생활 외국어", $C$29:$H$29, 6, FALSE), "0")+IFERROR(VLOOKUP("생활 외국어", $C$30:$H$30, 6, FALSE), "0")+IFERROR(VLOOKUP("생활 외국어", $C$31:$H$31, 6, FALSE), "0")+IFERROR(VLOOKUP("생활 외국어", $C$32:$H$32, 6, FALSE), "0")</f>
        <v>0</v>
      </c>
      <c r="T19" s="872"/>
      <c r="U19" s="874"/>
      <c r="V19" s="846"/>
      <c r="W19" s="849"/>
      <c r="X19" s="849"/>
      <c r="Y19" s="825"/>
      <c r="Z19" s="263"/>
      <c r="AA19" s="263"/>
      <c r="AB19" s="263"/>
      <c r="AC19" s="263"/>
      <c r="AF19" s="385" t="s">
        <v>24</v>
      </c>
    </row>
    <row r="20" spans="1:34" ht="18" customHeight="1" x14ac:dyDescent="0.3">
      <c r="A20" s="915"/>
      <c r="B20" s="804"/>
      <c r="C20" s="805"/>
      <c r="D20" s="827" t="s">
        <v>24</v>
      </c>
      <c r="E20" s="828"/>
      <c r="F20" s="819"/>
      <c r="G20" s="855"/>
      <c r="H20" s="347">
        <f t="shared" si="4"/>
        <v>17</v>
      </c>
      <c r="I20" s="348"/>
      <c r="J20" s="349"/>
      <c r="K20" s="350">
        <v>17</v>
      </c>
      <c r="L20" s="351"/>
      <c r="M20" s="352"/>
      <c r="N20" s="353"/>
      <c r="O20" s="354"/>
      <c r="P20" s="315">
        <f t="shared" si="0"/>
        <v>1</v>
      </c>
      <c r="Q20" s="870"/>
      <c r="R20" s="317">
        <f t="shared" si="2"/>
        <v>0</v>
      </c>
      <c r="S20" s="386">
        <f>IFERROR(VLOOKUP("보건", $C$27:$H$27, 6, FALSE), "0")+IFERROR(VLOOKUP("보건", $C$28:$H$28, 6, FALSE), "0")+IFERROR(VLOOKUP("보건", $C$29:$H$29, 6, FALSE), "0")+IFERROR(VLOOKUP("보건", $C$30:$H$30, 6, FALSE), "0")+IFERROR(VLOOKUP("보건", $C$31:$H$31, 6, FALSE), "0")+IFERROR(VLOOKUP("보건", $C$32:$H$32, 6, FALSE), "0")</f>
        <v>0</v>
      </c>
      <c r="T20" s="872"/>
      <c r="U20" s="874"/>
      <c r="V20" s="846"/>
      <c r="W20" s="849"/>
      <c r="X20" s="849"/>
      <c r="Y20" s="825"/>
      <c r="Z20" s="263"/>
      <c r="AA20" s="263"/>
      <c r="AB20" s="263"/>
      <c r="AC20" s="263"/>
      <c r="AF20" s="385" t="s">
        <v>51</v>
      </c>
    </row>
    <row r="21" spans="1:34" ht="18" customHeight="1" x14ac:dyDescent="0.3">
      <c r="A21" s="915"/>
      <c r="B21" s="804"/>
      <c r="C21" s="805"/>
      <c r="D21" s="827" t="s">
        <v>51</v>
      </c>
      <c r="E21" s="828"/>
      <c r="F21" s="819"/>
      <c r="G21" s="855"/>
      <c r="H21" s="347">
        <f t="shared" si="4"/>
        <v>68</v>
      </c>
      <c r="I21" s="387"/>
      <c r="J21" s="388"/>
      <c r="K21" s="389">
        <v>17</v>
      </c>
      <c r="L21" s="390"/>
      <c r="M21" s="391"/>
      <c r="N21" s="392">
        <v>34</v>
      </c>
      <c r="O21" s="393">
        <v>17</v>
      </c>
      <c r="P21" s="315">
        <f t="shared" si="0"/>
        <v>3</v>
      </c>
      <c r="Q21" s="870"/>
      <c r="R21" s="317">
        <f t="shared" si="2"/>
        <v>0</v>
      </c>
      <c r="S21" s="386">
        <f>IFERROR(VLOOKUP("진로와 직업", $C$27:$H$27, 6, FALSE), "0")+IFERROR(VLOOKUP("진로와 직업", $C$28:$H$28, 6, FALSE), "0")+IFERROR(VLOOKUP("진로와 직업", $C$29:$H$29, 6, FALSE), "0")+IFERROR(VLOOKUP("진로와 직업", $C$30:$H$30, 6, FALSE), "0")+IFERROR(VLOOKUP("진로와 직업", $C$31:$H$31, 6, FALSE), "0")+IFERROR(VLOOKUP("진로와 직업", $C$32:$H$32, 6, FALSE), "0")</f>
        <v>0</v>
      </c>
      <c r="T21" s="872"/>
      <c r="U21" s="874"/>
      <c r="V21" s="846"/>
      <c r="W21" s="849"/>
      <c r="X21" s="849"/>
      <c r="Y21" s="825"/>
      <c r="Z21" s="263"/>
      <c r="AA21" s="263"/>
      <c r="AB21" s="263"/>
      <c r="AC21" s="263"/>
      <c r="AF21" s="385" t="s">
        <v>41</v>
      </c>
    </row>
    <row r="22" spans="1:34" ht="18" customHeight="1" x14ac:dyDescent="0.3">
      <c r="A22" s="915"/>
      <c r="B22" s="804"/>
      <c r="C22" s="805"/>
      <c r="D22" s="827" t="s">
        <v>41</v>
      </c>
      <c r="E22" s="828"/>
      <c r="F22" s="819"/>
      <c r="G22" s="855"/>
      <c r="H22" s="347">
        <f t="shared" si="4"/>
        <v>68</v>
      </c>
      <c r="I22" s="348"/>
      <c r="J22" s="349"/>
      <c r="K22" s="350"/>
      <c r="L22" s="351">
        <v>34</v>
      </c>
      <c r="M22" s="352">
        <v>34</v>
      </c>
      <c r="N22" s="353"/>
      <c r="O22" s="354"/>
      <c r="P22" s="315">
        <f t="shared" si="0"/>
        <v>2</v>
      </c>
      <c r="Q22" s="870"/>
      <c r="R22" s="317">
        <f t="shared" si="2"/>
        <v>0</v>
      </c>
      <c r="S22" s="394">
        <f>IFERROR(VLOOKUP("환경", $C$27:$H$27, 6, FALSE), "0")+IFERROR(VLOOKUP("환경", $C$28:$H$28, 6, FALSE), "0")+IFERROR(VLOOKUP("환경", $C$29:$H$29, 6, FALSE), "0")+IFERROR(VLOOKUP("환경", $C$30:$H$30, 6, FALSE), "0")+IFERROR(VLOOKUP("환경", $C$31:$H$31, 6, FALSE), "0")+IFERROR(VLOOKUP("환경", $C$32:$H$32, 6, FALSE), "0")</f>
        <v>0</v>
      </c>
      <c r="T22" s="872"/>
      <c r="U22" s="874"/>
      <c r="V22" s="846"/>
      <c r="W22" s="849"/>
      <c r="X22" s="849"/>
      <c r="Y22" s="825"/>
      <c r="Z22" s="263"/>
      <c r="AA22" s="263"/>
      <c r="AB22" s="263"/>
      <c r="AC22" s="263"/>
      <c r="AF22" s="395" t="s">
        <v>109</v>
      </c>
    </row>
    <row r="23" spans="1:34" ht="18" customHeight="1" x14ac:dyDescent="0.3">
      <c r="A23" s="915"/>
      <c r="B23" s="804"/>
      <c r="C23" s="805"/>
      <c r="D23" s="864" t="s">
        <v>110</v>
      </c>
      <c r="E23" s="865"/>
      <c r="F23" s="819"/>
      <c r="G23" s="855"/>
      <c r="H23" s="347">
        <f t="shared" si="4"/>
        <v>34</v>
      </c>
      <c r="I23" s="387"/>
      <c r="J23" s="388"/>
      <c r="K23" s="389"/>
      <c r="L23" s="390"/>
      <c r="M23" s="391"/>
      <c r="N23" s="392"/>
      <c r="O23" s="393"/>
      <c r="P23" s="315">
        <f t="shared" si="0"/>
        <v>0</v>
      </c>
      <c r="Q23" s="870"/>
      <c r="R23" s="317">
        <f t="shared" si="2"/>
        <v>0</v>
      </c>
      <c r="S23" s="386">
        <f>IFERROR(VLOOKUP("기타", $C$27:$H$27, 6, FALSE), "0")+IFERROR(VLOOKUP("기타", $C$28:$H$28, 6, FALSE), "0")+IFERROR(VLOOKUP("기타", $C$29:$H$29, 6, FALSE), "0")+IFERROR(VLOOKUP("기타", $C$30:$H$30, 6, FALSE), "0")+IFERROR(VLOOKUP("기타", $C$31:$H$31, 6, FALSE), "0")+IFERROR(VLOOKUP("기타", $C$32:$H$32, 6, FALSE), "0")</f>
        <v>34</v>
      </c>
      <c r="T23" s="872"/>
      <c r="U23" s="874"/>
      <c r="V23" s="846"/>
      <c r="W23" s="849"/>
      <c r="X23" s="849"/>
      <c r="Y23" s="825"/>
      <c r="Z23" s="396"/>
      <c r="AA23" s="396"/>
      <c r="AB23" s="396"/>
      <c r="AC23" s="396"/>
      <c r="AD23" s="396"/>
      <c r="AE23" s="396"/>
      <c r="AG23" s="396"/>
      <c r="AH23" s="396"/>
    </row>
    <row r="24" spans="1:34" ht="18" customHeight="1" x14ac:dyDescent="0.3">
      <c r="A24" s="915"/>
      <c r="B24" s="804"/>
      <c r="C24" s="805"/>
      <c r="D24" s="866"/>
      <c r="E24" s="867"/>
      <c r="F24" s="819"/>
      <c r="G24" s="855"/>
      <c r="H24" s="347">
        <f t="shared" si="4"/>
        <v>0</v>
      </c>
      <c r="I24" s="387"/>
      <c r="J24" s="388"/>
      <c r="K24" s="389"/>
      <c r="L24" s="390"/>
      <c r="M24" s="391"/>
      <c r="N24" s="392"/>
      <c r="O24" s="393"/>
      <c r="P24" s="315">
        <f t="shared" si="0"/>
        <v>0</v>
      </c>
      <c r="Q24" s="870"/>
      <c r="R24" s="317">
        <f t="shared" si="2"/>
        <v>0</v>
      </c>
      <c r="S24" s="386"/>
      <c r="T24" s="872"/>
      <c r="U24" s="874"/>
      <c r="V24" s="846"/>
      <c r="W24" s="849"/>
      <c r="X24" s="849"/>
      <c r="Y24" s="825"/>
      <c r="Z24" s="396"/>
      <c r="AA24" s="396"/>
      <c r="AB24" s="396"/>
      <c r="AC24" s="396"/>
      <c r="AD24" s="396"/>
      <c r="AE24" s="396"/>
      <c r="AF24" s="396"/>
      <c r="AG24" s="396"/>
      <c r="AH24" s="396"/>
    </row>
    <row r="25" spans="1:34" ht="18" customHeight="1" x14ac:dyDescent="0.3">
      <c r="A25" s="915"/>
      <c r="B25" s="804"/>
      <c r="C25" s="805"/>
      <c r="D25" s="866"/>
      <c r="E25" s="867"/>
      <c r="F25" s="819"/>
      <c r="G25" s="855"/>
      <c r="H25" s="347">
        <f t="shared" si="4"/>
        <v>0</v>
      </c>
      <c r="I25" s="387"/>
      <c r="J25" s="388"/>
      <c r="K25" s="389"/>
      <c r="L25" s="390"/>
      <c r="M25" s="391"/>
      <c r="N25" s="392"/>
      <c r="O25" s="393"/>
      <c r="P25" s="315">
        <f t="shared" si="0"/>
        <v>0</v>
      </c>
      <c r="Q25" s="870"/>
      <c r="R25" s="317">
        <f t="shared" si="2"/>
        <v>0</v>
      </c>
      <c r="S25" s="394"/>
      <c r="T25" s="872"/>
      <c r="U25" s="874"/>
      <c r="V25" s="846"/>
      <c r="W25" s="849"/>
      <c r="X25" s="849"/>
      <c r="Y25" s="825"/>
      <c r="Z25" s="396"/>
      <c r="AA25" s="396"/>
      <c r="AB25" s="396"/>
      <c r="AC25" s="396"/>
      <c r="AD25" s="396"/>
      <c r="AE25" s="396"/>
      <c r="AF25" s="396"/>
      <c r="AG25" s="396"/>
      <c r="AH25" s="396"/>
    </row>
    <row r="26" spans="1:34" ht="18" customHeight="1" thickBot="1" x14ac:dyDescent="0.35">
      <c r="A26" s="915"/>
      <c r="B26" s="806"/>
      <c r="C26" s="807"/>
      <c r="D26" s="868"/>
      <c r="E26" s="869"/>
      <c r="F26" s="820"/>
      <c r="G26" s="840"/>
      <c r="H26" s="397">
        <f t="shared" ref="H26:H32" si="5">SUM(L26,M26,N26,O26,K26,J26)</f>
        <v>0</v>
      </c>
      <c r="I26" s="355"/>
      <c r="J26" s="356"/>
      <c r="K26" s="357"/>
      <c r="L26" s="358"/>
      <c r="M26" s="359"/>
      <c r="N26" s="360"/>
      <c r="O26" s="361"/>
      <c r="P26" s="315">
        <f t="shared" si="0"/>
        <v>0</v>
      </c>
      <c r="Q26" s="842"/>
      <c r="R26" s="331">
        <f t="shared" si="2"/>
        <v>0</v>
      </c>
      <c r="S26" s="398"/>
      <c r="T26" s="873"/>
      <c r="U26" s="836"/>
      <c r="V26" s="847"/>
      <c r="W26" s="850"/>
      <c r="X26" s="850"/>
      <c r="Y26" s="826"/>
      <c r="Z26" s="396"/>
      <c r="AA26" s="396"/>
      <c r="AB26" s="396"/>
      <c r="AC26" s="396"/>
      <c r="AD26" s="396"/>
      <c r="AE26" s="396"/>
      <c r="AF26" s="396"/>
      <c r="AG26" s="396"/>
      <c r="AH26" s="396"/>
    </row>
    <row r="27" spans="1:34" ht="18" customHeight="1" thickTop="1" x14ac:dyDescent="0.3">
      <c r="A27" s="915"/>
      <c r="B27" s="856" t="s">
        <v>111</v>
      </c>
      <c r="C27" s="399" t="s">
        <v>109</v>
      </c>
      <c r="D27" s="859" t="s">
        <v>130</v>
      </c>
      <c r="E27" s="860"/>
      <c r="F27" s="861">
        <v>33</v>
      </c>
      <c r="G27" s="888">
        <f>SUM(H27:H32)</f>
        <v>34</v>
      </c>
      <c r="H27" s="400">
        <f t="shared" si="5"/>
        <v>34</v>
      </c>
      <c r="I27" s="401">
        <v>34</v>
      </c>
      <c r="J27" s="402">
        <v>34</v>
      </c>
      <c r="K27" s="403"/>
      <c r="L27" s="404"/>
      <c r="M27" s="405"/>
      <c r="N27" s="406"/>
      <c r="O27" s="407"/>
      <c r="P27" s="408">
        <f>IF(ISBLANK(J27),0,1)+IF(ISBLANK(K27),0,1)+IF(ISBLANK(L27),0,1)+IF(ISBLANK(M27),0,1)+IF(ISBLANK(N27),0,1)+IF(ISBLANK(O27),0,1)</f>
        <v>1</v>
      </c>
      <c r="Q27" s="891"/>
      <c r="R27" s="877"/>
      <c r="S27" s="877"/>
      <c r="T27" s="880"/>
      <c r="U27" s="835" t="str">
        <f>IF(AND(G27&gt;=V27,G27&lt;=V27),"○",IF(G27&lt;V27,"▽","○"))</f>
        <v>○</v>
      </c>
      <c r="V27" s="845">
        <v>33</v>
      </c>
      <c r="W27" s="848"/>
      <c r="X27" s="848"/>
      <c r="Y27" s="824"/>
      <c r="Z27" s="409"/>
      <c r="AA27" s="409"/>
      <c r="AB27" s="409"/>
      <c r="AC27" s="409"/>
      <c r="AD27" s="409"/>
      <c r="AE27" s="409"/>
      <c r="AF27" s="409"/>
      <c r="AG27" s="409"/>
      <c r="AH27" s="409"/>
    </row>
    <row r="28" spans="1:34" ht="18" customHeight="1" x14ac:dyDescent="0.3">
      <c r="A28" s="915"/>
      <c r="B28" s="857"/>
      <c r="C28" s="410"/>
      <c r="D28" s="851"/>
      <c r="E28" s="852"/>
      <c r="F28" s="862"/>
      <c r="G28" s="889"/>
      <c r="H28" s="411">
        <f t="shared" si="5"/>
        <v>0</v>
      </c>
      <c r="I28" s="412"/>
      <c r="J28" s="413"/>
      <c r="K28" s="414"/>
      <c r="L28" s="415"/>
      <c r="M28" s="416"/>
      <c r="N28" s="417"/>
      <c r="O28" s="418"/>
      <c r="P28" s="419">
        <f>IF(ISBLANK(J28),0,1)+IF(ISBLANK(K28),0,1)+IF(ISBLANK(L28),0,1)+IF(ISBLANK(M28),0,1)+IF(ISBLANK(N28),0,1)+IF(ISBLANK(O28),0,1)</f>
        <v>0</v>
      </c>
      <c r="Q28" s="892"/>
      <c r="R28" s="878"/>
      <c r="S28" s="878"/>
      <c r="T28" s="881"/>
      <c r="U28" s="874"/>
      <c r="V28" s="846"/>
      <c r="W28" s="849"/>
      <c r="X28" s="849"/>
      <c r="Y28" s="825"/>
      <c r="Z28" s="409"/>
      <c r="AA28" s="409"/>
      <c r="AB28" s="409"/>
      <c r="AC28" s="409"/>
      <c r="AD28" s="409"/>
      <c r="AE28" s="409"/>
      <c r="AF28" s="409"/>
      <c r="AG28" s="409"/>
      <c r="AH28" s="409"/>
    </row>
    <row r="29" spans="1:34" ht="18" customHeight="1" x14ac:dyDescent="0.3">
      <c r="A29" s="915"/>
      <c r="B29" s="857"/>
      <c r="C29" s="410"/>
      <c r="D29" s="851"/>
      <c r="E29" s="852"/>
      <c r="F29" s="862"/>
      <c r="G29" s="889"/>
      <c r="H29" s="411">
        <f t="shared" si="5"/>
        <v>0</v>
      </c>
      <c r="I29" s="412"/>
      <c r="J29" s="413"/>
      <c r="K29" s="414"/>
      <c r="L29" s="415"/>
      <c r="M29" s="416"/>
      <c r="N29" s="417"/>
      <c r="O29" s="418"/>
      <c r="P29" s="419">
        <f t="shared" ref="P29:P32" si="6">IF(ISBLANK(J29),0,1)+IF(ISBLANK(K29),0,1)+IF(ISBLANK(L29),0,1)+IF(ISBLANK(M29),0,1)+IF(ISBLANK(N29),0,1)+IF(ISBLANK(O29),0,1)</f>
        <v>0</v>
      </c>
      <c r="Q29" s="892"/>
      <c r="R29" s="878"/>
      <c r="S29" s="878"/>
      <c r="T29" s="881"/>
      <c r="U29" s="874"/>
      <c r="V29" s="846"/>
      <c r="W29" s="849"/>
      <c r="X29" s="849"/>
      <c r="Y29" s="825"/>
      <c r="Z29" s="409"/>
      <c r="AA29" s="409"/>
      <c r="AB29" s="409"/>
      <c r="AC29" s="409"/>
      <c r="AD29" s="409"/>
      <c r="AE29" s="409"/>
      <c r="AF29" s="409"/>
      <c r="AG29" s="409"/>
      <c r="AH29" s="409"/>
    </row>
    <row r="30" spans="1:34" ht="18" customHeight="1" x14ac:dyDescent="0.3">
      <c r="A30" s="915"/>
      <c r="B30" s="857"/>
      <c r="C30" s="410"/>
      <c r="D30" s="851"/>
      <c r="E30" s="852"/>
      <c r="F30" s="862"/>
      <c r="G30" s="889"/>
      <c r="H30" s="411">
        <f t="shared" si="5"/>
        <v>0</v>
      </c>
      <c r="I30" s="412"/>
      <c r="J30" s="413"/>
      <c r="K30" s="414"/>
      <c r="L30" s="415"/>
      <c r="M30" s="416"/>
      <c r="N30" s="417"/>
      <c r="O30" s="418"/>
      <c r="P30" s="419">
        <f t="shared" si="6"/>
        <v>0</v>
      </c>
      <c r="Q30" s="892"/>
      <c r="R30" s="878"/>
      <c r="S30" s="878"/>
      <c r="T30" s="881"/>
      <c r="U30" s="874"/>
      <c r="V30" s="846"/>
      <c r="W30" s="849"/>
      <c r="X30" s="849"/>
      <c r="Y30" s="825"/>
      <c r="Z30" s="409"/>
      <c r="AA30" s="409"/>
      <c r="AB30" s="409"/>
      <c r="AC30" s="409"/>
      <c r="AD30" s="409"/>
      <c r="AE30" s="409"/>
      <c r="AF30" s="409"/>
      <c r="AG30" s="409"/>
      <c r="AH30" s="409"/>
    </row>
    <row r="31" spans="1:34" ht="18" customHeight="1" x14ac:dyDescent="0.3">
      <c r="A31" s="915"/>
      <c r="B31" s="857"/>
      <c r="C31" s="410"/>
      <c r="D31" s="851"/>
      <c r="E31" s="852"/>
      <c r="F31" s="862"/>
      <c r="G31" s="889"/>
      <c r="H31" s="411">
        <f t="shared" si="5"/>
        <v>0</v>
      </c>
      <c r="I31" s="412"/>
      <c r="J31" s="413"/>
      <c r="K31" s="414"/>
      <c r="L31" s="415"/>
      <c r="M31" s="416"/>
      <c r="N31" s="417"/>
      <c r="O31" s="418"/>
      <c r="P31" s="419">
        <f t="shared" si="6"/>
        <v>0</v>
      </c>
      <c r="Q31" s="892"/>
      <c r="R31" s="878"/>
      <c r="S31" s="878"/>
      <c r="T31" s="881"/>
      <c r="U31" s="874"/>
      <c r="V31" s="846"/>
      <c r="W31" s="849"/>
      <c r="X31" s="849"/>
      <c r="Y31" s="825"/>
      <c r="Z31" s="409"/>
      <c r="AA31" s="409"/>
      <c r="AB31" s="409"/>
      <c r="AC31" s="409"/>
      <c r="AD31" s="409"/>
      <c r="AE31" s="409"/>
      <c r="AF31" s="409"/>
      <c r="AG31" s="409"/>
      <c r="AH31" s="409"/>
    </row>
    <row r="32" spans="1:34" ht="18" customHeight="1" thickBot="1" x14ac:dyDescent="0.35">
      <c r="A32" s="915"/>
      <c r="B32" s="858"/>
      <c r="C32" s="420"/>
      <c r="D32" s="875"/>
      <c r="E32" s="876"/>
      <c r="F32" s="863"/>
      <c r="G32" s="890"/>
      <c r="H32" s="421">
        <f t="shared" si="5"/>
        <v>0</v>
      </c>
      <c r="I32" s="422"/>
      <c r="J32" s="423"/>
      <c r="K32" s="424"/>
      <c r="L32" s="425"/>
      <c r="M32" s="426"/>
      <c r="N32" s="427"/>
      <c r="O32" s="428"/>
      <c r="P32" s="429">
        <f t="shared" si="6"/>
        <v>0</v>
      </c>
      <c r="Q32" s="893"/>
      <c r="R32" s="879"/>
      <c r="S32" s="879"/>
      <c r="T32" s="882"/>
      <c r="U32" s="836"/>
      <c r="V32" s="847"/>
      <c r="W32" s="850"/>
      <c r="X32" s="850"/>
      <c r="Y32" s="826"/>
      <c r="Z32" s="409"/>
      <c r="AA32" s="409"/>
      <c r="AB32" s="409"/>
      <c r="AC32" s="409"/>
      <c r="AD32" s="409"/>
      <c r="AE32" s="409"/>
      <c r="AF32" s="409"/>
      <c r="AG32" s="409"/>
      <c r="AH32" s="409"/>
    </row>
    <row r="33" spans="1:34" ht="30" customHeight="1" thickTop="1" thickBot="1" x14ac:dyDescent="0.35">
      <c r="A33" s="916"/>
      <c r="B33" s="902" t="s">
        <v>9</v>
      </c>
      <c r="C33" s="903"/>
      <c r="D33" s="903"/>
      <c r="E33" s="904"/>
      <c r="F33" s="430">
        <f>SUM(F5:F26)</f>
        <v>3060</v>
      </c>
      <c r="G33" s="905">
        <f>SUM(G5,G6,G9,G10,G13,G15,G17,G18)</f>
        <v>2924</v>
      </c>
      <c r="H33" s="906"/>
      <c r="I33" s="431">
        <f t="shared" ref="I33:O33" si="7">SUM(I5:I32)</f>
        <v>510</v>
      </c>
      <c r="J33" s="432">
        <f t="shared" si="7"/>
        <v>425</v>
      </c>
      <c r="K33" s="433">
        <f t="shared" si="7"/>
        <v>493</v>
      </c>
      <c r="L33" s="434">
        <f t="shared" si="7"/>
        <v>510</v>
      </c>
      <c r="M33" s="435">
        <f t="shared" si="7"/>
        <v>493</v>
      </c>
      <c r="N33" s="436">
        <f t="shared" si="7"/>
        <v>510</v>
      </c>
      <c r="O33" s="437">
        <f t="shared" si="7"/>
        <v>493</v>
      </c>
      <c r="P33" s="907"/>
      <c r="Q33" s="438">
        <f>SUM(Q5:Q26)</f>
        <v>-85</v>
      </c>
      <c r="R33" s="439">
        <f>SUM(R5:R26)</f>
        <v>-85</v>
      </c>
      <c r="S33" s="439">
        <f>SUM(S5:S26)</f>
        <v>34</v>
      </c>
      <c r="T33" s="440">
        <f>SUM(T5:T26)</f>
        <v>-136</v>
      </c>
      <c r="U33" s="441"/>
      <c r="V33" s="529"/>
      <c r="W33" s="442"/>
      <c r="X33" s="443"/>
      <c r="Y33" s="444"/>
      <c r="Z33" s="263"/>
      <c r="AA33" s="263"/>
      <c r="AB33" s="263"/>
      <c r="AC33" s="263"/>
    </row>
    <row r="34" spans="1:34" ht="18" customHeight="1" thickBot="1" x14ac:dyDescent="0.35">
      <c r="A34" s="914" t="s">
        <v>16</v>
      </c>
      <c r="B34" s="917" t="s">
        <v>112</v>
      </c>
      <c r="C34" s="918"/>
      <c r="D34" s="918"/>
      <c r="E34" s="919"/>
      <c r="F34" s="920" t="s">
        <v>113</v>
      </c>
      <c r="G34" s="923">
        <f>SUM(H34:H37)</f>
        <v>340</v>
      </c>
      <c r="H34" s="445">
        <f>SUM(J34,K34,L34,M34,N34,O34)</f>
        <v>169</v>
      </c>
      <c r="I34" s="446">
        <v>7</v>
      </c>
      <c r="J34" s="447">
        <v>7</v>
      </c>
      <c r="K34" s="448">
        <v>38</v>
      </c>
      <c r="L34" s="449">
        <v>24</v>
      </c>
      <c r="M34" s="450">
        <v>38</v>
      </c>
      <c r="N34" s="451">
        <v>24</v>
      </c>
      <c r="O34" s="452">
        <v>38</v>
      </c>
      <c r="P34" s="908"/>
      <c r="Q34" s="894">
        <f>SUM(I34:I37,K34:O37)-V34</f>
        <v>51</v>
      </c>
      <c r="R34" s="453">
        <f>J34-I34</f>
        <v>0</v>
      </c>
      <c r="S34" s="895"/>
      <c r="T34" s="883">
        <f>SUM(Q34:S37)</f>
        <v>34</v>
      </c>
      <c r="U34" s="885" t="str">
        <f>IF(AND(G34&gt;=W34,G34&lt;=X34),"○",IF(G34&lt;W34,"▽","△"))</f>
        <v>○</v>
      </c>
      <c r="V34" s="896">
        <v>306</v>
      </c>
      <c r="W34" s="899">
        <v>245</v>
      </c>
      <c r="X34" s="899">
        <v>367</v>
      </c>
      <c r="Y34" s="962">
        <v>61</v>
      </c>
      <c r="Z34" s="263"/>
      <c r="AA34" s="263"/>
      <c r="AB34" s="263"/>
      <c r="AC34" s="263"/>
    </row>
    <row r="35" spans="1:34" ht="18" customHeight="1" thickTop="1" x14ac:dyDescent="0.3">
      <c r="A35" s="915"/>
      <c r="B35" s="965" t="s">
        <v>114</v>
      </c>
      <c r="C35" s="967" t="s">
        <v>58</v>
      </c>
      <c r="D35" s="968"/>
      <c r="E35" s="969"/>
      <c r="F35" s="921"/>
      <c r="G35" s="822"/>
      <c r="H35" s="454">
        <f>SUM(J35,K35,L35,M35,N35,O35)</f>
        <v>51</v>
      </c>
      <c r="I35" s="364">
        <v>8</v>
      </c>
      <c r="J35" s="365">
        <v>8</v>
      </c>
      <c r="K35" s="366">
        <v>9</v>
      </c>
      <c r="L35" s="367">
        <v>8</v>
      </c>
      <c r="M35" s="368">
        <v>9</v>
      </c>
      <c r="N35" s="369">
        <v>8</v>
      </c>
      <c r="O35" s="370">
        <v>9</v>
      </c>
      <c r="P35" s="908"/>
      <c r="Q35" s="870"/>
      <c r="R35" s="375">
        <f t="shared" ref="R35:R37" si="8">J35-I35</f>
        <v>0</v>
      </c>
      <c r="S35" s="878"/>
      <c r="T35" s="884"/>
      <c r="U35" s="886"/>
      <c r="V35" s="897"/>
      <c r="W35" s="900"/>
      <c r="X35" s="900"/>
      <c r="Y35" s="963"/>
    </row>
    <row r="36" spans="1:34" ht="18" customHeight="1" thickBot="1" x14ac:dyDescent="0.35">
      <c r="A36" s="915"/>
      <c r="B36" s="966"/>
      <c r="C36" s="970" t="s">
        <v>115</v>
      </c>
      <c r="D36" s="971"/>
      <c r="E36" s="972"/>
      <c r="F36" s="921"/>
      <c r="G36" s="822"/>
      <c r="H36" s="455">
        <f>SUM(L36,M36,N36,O36,K36,J36)</f>
        <v>102</v>
      </c>
      <c r="I36" s="355">
        <v>17</v>
      </c>
      <c r="J36" s="356">
        <v>17</v>
      </c>
      <c r="K36" s="357">
        <v>17</v>
      </c>
      <c r="L36" s="358">
        <v>17</v>
      </c>
      <c r="M36" s="359">
        <v>17</v>
      </c>
      <c r="N36" s="360">
        <v>17</v>
      </c>
      <c r="O36" s="361">
        <v>17</v>
      </c>
      <c r="P36" s="908"/>
      <c r="Q36" s="870"/>
      <c r="R36" s="456">
        <f t="shared" si="8"/>
        <v>0</v>
      </c>
      <c r="S36" s="878"/>
      <c r="T36" s="884"/>
      <c r="U36" s="886"/>
      <c r="V36" s="897"/>
      <c r="W36" s="900"/>
      <c r="X36" s="900"/>
      <c r="Y36" s="963"/>
      <c r="Z36" s="263"/>
      <c r="AA36" s="263"/>
      <c r="AB36" s="263"/>
      <c r="AC36" s="263"/>
    </row>
    <row r="37" spans="1:34" ht="18" customHeight="1" thickTop="1" thickBot="1" x14ac:dyDescent="0.35">
      <c r="A37" s="915"/>
      <c r="B37" s="926" t="s">
        <v>116</v>
      </c>
      <c r="C37" s="927"/>
      <c r="D37" s="927"/>
      <c r="E37" s="928"/>
      <c r="F37" s="922"/>
      <c r="G37" s="924"/>
      <c r="H37" s="457">
        <f>SUM(L37,M37,N37,O37,K37,J37)</f>
        <v>18</v>
      </c>
      <c r="I37" s="458">
        <v>19</v>
      </c>
      <c r="J37" s="459">
        <v>2</v>
      </c>
      <c r="K37" s="460">
        <v>4</v>
      </c>
      <c r="L37" s="461">
        <v>2</v>
      </c>
      <c r="M37" s="462">
        <v>4</v>
      </c>
      <c r="N37" s="463">
        <v>2</v>
      </c>
      <c r="O37" s="464">
        <v>4</v>
      </c>
      <c r="P37" s="908"/>
      <c r="Q37" s="842"/>
      <c r="R37" s="331">
        <f t="shared" si="8"/>
        <v>-17</v>
      </c>
      <c r="S37" s="879"/>
      <c r="T37" s="834"/>
      <c r="U37" s="887"/>
      <c r="V37" s="898"/>
      <c r="W37" s="901"/>
      <c r="X37" s="901"/>
      <c r="Y37" s="964"/>
      <c r="Z37" s="940"/>
      <c r="AA37" s="770"/>
      <c r="AB37" s="770"/>
      <c r="AC37" s="770"/>
      <c r="AD37" s="770"/>
      <c r="AE37" s="770"/>
      <c r="AF37" s="770"/>
      <c r="AG37" s="770"/>
      <c r="AH37" s="770"/>
    </row>
    <row r="38" spans="1:34" ht="30" customHeight="1" thickTop="1" thickBot="1" x14ac:dyDescent="0.35">
      <c r="A38" s="916"/>
      <c r="B38" s="946" t="s">
        <v>6</v>
      </c>
      <c r="C38" s="947"/>
      <c r="D38" s="947"/>
      <c r="E38" s="948"/>
      <c r="F38" s="465" t="s">
        <v>113</v>
      </c>
      <c r="G38" s="949">
        <f>SUM(G34)</f>
        <v>340</v>
      </c>
      <c r="H38" s="950"/>
      <c r="I38" s="466">
        <f>SUM(I34:I37)</f>
        <v>51</v>
      </c>
      <c r="J38" s="467">
        <f t="shared" ref="J38:O38" si="9">SUM(J34:J37)</f>
        <v>34</v>
      </c>
      <c r="K38" s="468">
        <f t="shared" si="9"/>
        <v>68</v>
      </c>
      <c r="L38" s="469">
        <f t="shared" si="9"/>
        <v>51</v>
      </c>
      <c r="M38" s="470">
        <f t="shared" si="9"/>
        <v>68</v>
      </c>
      <c r="N38" s="471">
        <f t="shared" si="9"/>
        <v>51</v>
      </c>
      <c r="O38" s="470">
        <f t="shared" si="9"/>
        <v>68</v>
      </c>
      <c r="P38" s="908"/>
      <c r="Q38" s="438">
        <f>SUM(Q34:Q37)</f>
        <v>51</v>
      </c>
      <c r="R38" s="439">
        <f>SUM(R34:R37)</f>
        <v>-17</v>
      </c>
      <c r="S38" s="472"/>
      <c r="T38" s="473">
        <f>SUM(T34:T37)</f>
        <v>34</v>
      </c>
      <c r="U38" s="441"/>
      <c r="V38" s="951" t="s">
        <v>79</v>
      </c>
      <c r="W38" s="952"/>
      <c r="X38" s="953"/>
      <c r="Y38" s="954" t="s">
        <v>118</v>
      </c>
      <c r="Z38" s="940"/>
      <c r="AA38" s="770"/>
      <c r="AB38" s="770"/>
      <c r="AC38" s="770"/>
      <c r="AD38" s="770"/>
      <c r="AE38" s="770"/>
      <c r="AF38" s="770"/>
      <c r="AG38" s="770"/>
      <c r="AH38" s="770"/>
    </row>
    <row r="39" spans="1:34" ht="18" customHeight="1" x14ac:dyDescent="0.3">
      <c r="A39" s="914" t="s">
        <v>119</v>
      </c>
      <c r="B39" s="956" t="s">
        <v>94</v>
      </c>
      <c r="C39" s="957"/>
      <c r="D39" s="957"/>
      <c r="E39" s="958"/>
      <c r="F39" s="959">
        <v>102</v>
      </c>
      <c r="G39" s="960">
        <f>SUM(H39:H40)</f>
        <v>102</v>
      </c>
      <c r="H39" s="474">
        <f>J39</f>
        <v>68</v>
      </c>
      <c r="I39" s="475"/>
      <c r="J39" s="476">
        <v>68</v>
      </c>
      <c r="K39" s="477"/>
      <c r="L39" s="478"/>
      <c r="M39" s="479"/>
      <c r="N39" s="480"/>
      <c r="O39" s="481"/>
      <c r="P39" s="908"/>
      <c r="Q39" s="961"/>
      <c r="R39" s="482">
        <f>J39</f>
        <v>68</v>
      </c>
      <c r="S39" s="895"/>
      <c r="T39" s="883">
        <f>SUM(Q39:S40)</f>
        <v>102</v>
      </c>
      <c r="U39" s="910" t="str">
        <f>IF(AND(G39&gt;=102,G39&lt;=102),"○",IF(G39&lt;102,"▽","△"))</f>
        <v>○</v>
      </c>
      <c r="V39" s="483" t="s">
        <v>120</v>
      </c>
      <c r="W39" s="484" t="s">
        <v>121</v>
      </c>
      <c r="X39" s="485" t="s">
        <v>122</v>
      </c>
      <c r="Y39" s="955"/>
      <c r="Z39" s="396"/>
      <c r="AA39" s="396"/>
      <c r="AB39" s="396"/>
      <c r="AC39" s="396"/>
      <c r="AD39" s="396"/>
      <c r="AE39" s="396"/>
      <c r="AF39" s="396"/>
      <c r="AG39" s="396"/>
    </row>
    <row r="40" spans="1:34" ht="18" customHeight="1" thickBot="1" x14ac:dyDescent="0.35">
      <c r="A40" s="915"/>
      <c r="B40" s="829" t="s">
        <v>95</v>
      </c>
      <c r="C40" s="925"/>
      <c r="D40" s="925"/>
      <c r="E40" s="830"/>
      <c r="F40" s="820"/>
      <c r="G40" s="823"/>
      <c r="H40" s="486">
        <f>J40</f>
        <v>34</v>
      </c>
      <c r="I40" s="487"/>
      <c r="J40" s="349">
        <v>34</v>
      </c>
      <c r="K40" s="488"/>
      <c r="L40" s="489"/>
      <c r="M40" s="490"/>
      <c r="N40" s="491"/>
      <c r="O40" s="492"/>
      <c r="P40" s="908"/>
      <c r="Q40" s="893"/>
      <c r="R40" s="362">
        <f>J40</f>
        <v>34</v>
      </c>
      <c r="S40" s="879"/>
      <c r="T40" s="834"/>
      <c r="U40" s="911"/>
      <c r="V40" s="493">
        <f>SUM(J35,K35)</f>
        <v>17</v>
      </c>
      <c r="W40" s="494">
        <f>SUM(L35,M35)</f>
        <v>17</v>
      </c>
      <c r="X40" s="495">
        <f>SUM(N35,O35)</f>
        <v>17</v>
      </c>
      <c r="Y40" s="496">
        <f>SUM(J12,K12,L12,M12,N12,O12,S12)</f>
        <v>68</v>
      </c>
      <c r="Z40" s="263"/>
      <c r="AA40" s="263"/>
      <c r="AB40" s="263"/>
      <c r="AC40" s="263"/>
    </row>
    <row r="41" spans="1:34" ht="28.5" customHeight="1" thickTop="1" thickBot="1" x14ac:dyDescent="0.35">
      <c r="A41" s="916"/>
      <c r="B41" s="902" t="s">
        <v>4</v>
      </c>
      <c r="C41" s="903"/>
      <c r="D41" s="903"/>
      <c r="E41" s="904"/>
      <c r="F41" s="432"/>
      <c r="G41" s="902">
        <f>SUM(G39)</f>
        <v>102</v>
      </c>
      <c r="H41" s="937"/>
      <c r="I41" s="431"/>
      <c r="J41" s="432">
        <f>J39+J40</f>
        <v>102</v>
      </c>
      <c r="K41" s="433"/>
      <c r="L41" s="434"/>
      <c r="M41" s="435"/>
      <c r="N41" s="436"/>
      <c r="O41" s="437"/>
      <c r="P41" s="908"/>
      <c r="Q41" s="497"/>
      <c r="R41" s="439">
        <f>SUM(R39:R40)</f>
        <v>102</v>
      </c>
      <c r="S41" s="472"/>
      <c r="T41" s="473">
        <f>SUM(T39:T40)</f>
        <v>102</v>
      </c>
      <c r="U41" s="523"/>
      <c r="V41" s="938" t="s">
        <v>123</v>
      </c>
      <c r="W41" s="939"/>
      <c r="X41" s="939"/>
      <c r="Y41" s="498">
        <f>SUM(I14,K14,L14,M14,N14,O14,I36,K36,L36,M36,N36,O36)</f>
        <v>136</v>
      </c>
      <c r="Z41" s="940"/>
      <c r="AA41" s="770"/>
      <c r="AB41" s="770"/>
      <c r="AC41" s="770"/>
      <c r="AD41" s="770"/>
      <c r="AE41" s="770"/>
    </row>
    <row r="42" spans="1:34" ht="36" customHeight="1" thickBot="1" x14ac:dyDescent="0.35">
      <c r="A42" s="941" t="s">
        <v>11</v>
      </c>
      <c r="B42" s="942"/>
      <c r="C42" s="942"/>
      <c r="D42" s="942"/>
      <c r="E42" s="943"/>
      <c r="F42" s="499" t="s">
        <v>77</v>
      </c>
      <c r="G42" s="944">
        <f>SUM(G33,G38,G41)</f>
        <v>3366</v>
      </c>
      <c r="H42" s="945"/>
      <c r="I42" s="500">
        <f>I33+I38</f>
        <v>561</v>
      </c>
      <c r="J42" s="501">
        <f>J33+J38+J41</f>
        <v>561</v>
      </c>
      <c r="K42" s="502">
        <f>K33+K38+K41</f>
        <v>561</v>
      </c>
      <c r="L42" s="503">
        <f>L33+L38</f>
        <v>561</v>
      </c>
      <c r="M42" s="504">
        <f>M33+M38</f>
        <v>561</v>
      </c>
      <c r="N42" s="505">
        <f>N33+N38</f>
        <v>561</v>
      </c>
      <c r="O42" s="506">
        <f>O33+O38</f>
        <v>561</v>
      </c>
      <c r="P42" s="908"/>
      <c r="Q42" s="507">
        <f>SUM(Q33,Q38,Q41)</f>
        <v>-34</v>
      </c>
      <c r="R42" s="508">
        <f>SUM(R33,R38,R41)</f>
        <v>0</v>
      </c>
      <c r="S42" s="508">
        <f>SUM(S33,S38,S41)</f>
        <v>34</v>
      </c>
      <c r="T42" s="509">
        <f>SUM(T33,T38,T41)</f>
        <v>0</v>
      </c>
      <c r="U42" s="522" t="str">
        <f>IF(G42=3366,"○",IF(G42&lt;3366,"▽","○"))</f>
        <v>○</v>
      </c>
      <c r="V42" s="530"/>
      <c r="W42" s="510"/>
      <c r="X42" s="510"/>
      <c r="Y42" s="511"/>
      <c r="Z42" s="940"/>
      <c r="AA42" s="770"/>
      <c r="AB42" s="770"/>
      <c r="AC42" s="770"/>
      <c r="AD42" s="770"/>
      <c r="AE42" s="770"/>
    </row>
    <row r="43" spans="1:34" ht="18" customHeight="1" thickTop="1" thickBot="1" x14ac:dyDescent="0.35">
      <c r="A43" s="912" t="s">
        <v>125</v>
      </c>
      <c r="B43" s="913"/>
      <c r="C43" s="913"/>
      <c r="D43" s="913"/>
      <c r="E43" s="913"/>
      <c r="F43" s="913"/>
      <c r="G43" s="913"/>
      <c r="H43" s="913"/>
      <c r="I43" s="912">
        <f>IF(ISBLANK(I5),0,1)+IF(ISBLANK(I6),0,1)+IF(ISBLANK(I7),0,1)+IF(ISBLANK(I8),0,1)+IF(ISBLANK(I9),0,1)+IF(ISBLANK(I10),0,1)+IF(ISBLANK(I11),0,1)+IF(ISBLANK(I12),0,1)+IF(ISBLANK(I17),0,1)+IF(ISBLANK(I18),0,1)+IF(ISBLANK(I19),0,1)</f>
        <v>8</v>
      </c>
      <c r="J43" s="913"/>
      <c r="K43" s="512">
        <f>IF(ISBLANK(K5),0,1)+IF(ISBLANK(K6),0,1)+IF(ISBLANK(K7),0,1)+IF(ISBLANK(K8),0,1)+IF(ISBLANK(K9),0,1)+IF(ISBLANK(K10),0,1)+IF(ISBLANK(K11),0,1)+IF(ISBLANK(K12),0,1)+IF(ISBLANK(K17),0,1)+IF(ISBLANK(K18),0,1)+IF(ISBLANK(K19),0,1)</f>
        <v>8</v>
      </c>
      <c r="L43" s="513">
        <f>IF(ISBLANK(L5),0,1)+IF(ISBLANK(L6),0,1)+IF(ISBLANK(L7),0,1)+IF(ISBLANK(L8),0,1)+IF(ISBLANK(L9),0,1)+IF(ISBLANK(L10),0,1)+IF(ISBLANK(L11),0,1)+IF(ISBLANK(L12),0,1)+IF(ISBLANK(L17),0,1)+IF(ISBLANK(L18),0,1)+IF(ISBLANK(L19),0,1)</f>
        <v>8</v>
      </c>
      <c r="M43" s="514">
        <f>IF(ISBLANK(M5),0,1)+IF(ISBLANK(M6),0,1)+IF(ISBLANK(M7),0,1)+IF(ISBLANK(M8),0,1)+IF(ISBLANK(M9),0,1)+IF(ISBLANK(M10),0,1)+IF(ISBLANK(M11),0,1)+IF(ISBLANK(M12),0,1)+IF(ISBLANK(M17),0,1)+IF(ISBLANK(M18),0,1)+IF(ISBLANK(M19),0,1)</f>
        <v>8</v>
      </c>
      <c r="N43" s="515">
        <f>IF(ISBLANK(N5),0,1)+IF(ISBLANK(N6),0,1)+IF(ISBLANK(N7),0,1)+IF(ISBLANK(N8),0,1)+IF(ISBLANK(N9),0,1)+IF(ISBLANK(N10),0,1)+IF(ISBLANK(N11),0,1)+IF(ISBLANK(N12),0,1)+IF(ISBLANK(N17),0,1)+IF(ISBLANK(N18),0,1)+IF(ISBLANK(N19),0,1)</f>
        <v>7</v>
      </c>
      <c r="O43" s="516">
        <f>IF(ISBLANK(O5),0,1)+IF(ISBLANK(O6),0,1)+IF(ISBLANK(O7),0,1)+IF(ISBLANK(O8),0,1)+IF(ISBLANK(O9),0,1)+IF(ISBLANK(O10),0,1)+IF(ISBLANK(O11),0,1)+IF(ISBLANK(O12),0,1)+IF(ISBLANK(O17),0,1)+IF(ISBLANK(O18),0,1)+IF(ISBLANK(O19),0,1)</f>
        <v>7</v>
      </c>
      <c r="P43" s="909"/>
      <c r="Q43" s="517"/>
      <c r="R43" s="518"/>
      <c r="S43" s="519"/>
      <c r="T43" s="520"/>
      <c r="U43" s="521"/>
      <c r="V43" s="531"/>
      <c r="W43" s="532"/>
      <c r="X43" s="532"/>
      <c r="Y43" s="533"/>
    </row>
    <row r="44" spans="1:34" ht="54" customHeight="1" thickTop="1" thickBot="1" x14ac:dyDescent="0.35">
      <c r="A44" s="930" t="s">
        <v>126</v>
      </c>
      <c r="B44" s="931"/>
      <c r="C44" s="931"/>
      <c r="D44" s="931"/>
      <c r="E44" s="932"/>
      <c r="F44" s="933"/>
      <c r="G44" s="934"/>
      <c r="H44" s="934"/>
      <c r="I44" s="934"/>
      <c r="J44" s="934"/>
      <c r="K44" s="934"/>
      <c r="L44" s="934"/>
      <c r="M44" s="934"/>
      <c r="N44" s="934"/>
      <c r="O44" s="934"/>
      <c r="P44" s="935"/>
      <c r="Q44" s="935"/>
      <c r="R44" s="935"/>
      <c r="S44" s="935"/>
      <c r="T44" s="935"/>
      <c r="U44" s="935"/>
      <c r="V44" s="935"/>
      <c r="W44" s="935"/>
      <c r="X44" s="935"/>
      <c r="Y44" s="936"/>
    </row>
  </sheetData>
  <sheetProtection algorithmName="SHA-512" hashValue="JSSIr2w2LYLZGr4Wp4At41otxD2IgJyiooahG6wfniJGYCLgguqsZgQPMe8tuF6o3w48Dc1a6C26PSdewK/FPA==" saltValue="sBs6WeM376TslenNDZDjuA==" spinCount="100000" sheet="1" objects="1" scenarios="1"/>
  <mergeCells count="141">
    <mergeCell ref="A44:E44"/>
    <mergeCell ref="F44:Y44"/>
    <mergeCell ref="V41:X41"/>
    <mergeCell ref="Z41:AE41"/>
    <mergeCell ref="A42:E42"/>
    <mergeCell ref="G42:H42"/>
    <mergeCell ref="Z42:AE42"/>
    <mergeCell ref="A43:H43"/>
    <mergeCell ref="I43:J43"/>
    <mergeCell ref="T39:T40"/>
    <mergeCell ref="U39:U40"/>
    <mergeCell ref="B40:E40"/>
    <mergeCell ref="B41:E41"/>
    <mergeCell ref="G41:H41"/>
    <mergeCell ref="Z37:AH37"/>
    <mergeCell ref="B38:E38"/>
    <mergeCell ref="G38:H38"/>
    <mergeCell ref="V38:X38"/>
    <mergeCell ref="Y38:Y39"/>
    <mergeCell ref="Z38:AH38"/>
    <mergeCell ref="B39:E39"/>
    <mergeCell ref="F39:F40"/>
    <mergeCell ref="G39:G40"/>
    <mergeCell ref="Q39:Q40"/>
    <mergeCell ref="X34:X37"/>
    <mergeCell ref="Y34:Y37"/>
    <mergeCell ref="B35:B36"/>
    <mergeCell ref="C35:E35"/>
    <mergeCell ref="C36:E36"/>
    <mergeCell ref="B37:E37"/>
    <mergeCell ref="Q34:Q37"/>
    <mergeCell ref="S34:S37"/>
    <mergeCell ref="B33:E33"/>
    <mergeCell ref="G33:H33"/>
    <mergeCell ref="P33:P43"/>
    <mergeCell ref="A34:A38"/>
    <mergeCell ref="B34:E34"/>
    <mergeCell ref="F34:F37"/>
    <mergeCell ref="G34:G37"/>
    <mergeCell ref="A39:A41"/>
    <mergeCell ref="S39:S40"/>
    <mergeCell ref="A5:A33"/>
    <mergeCell ref="B5:E5"/>
    <mergeCell ref="G5:H5"/>
    <mergeCell ref="B18:C26"/>
    <mergeCell ref="D18:E18"/>
    <mergeCell ref="F18:F26"/>
    <mergeCell ref="G18:G26"/>
    <mergeCell ref="B27:B32"/>
    <mergeCell ref="D27:E27"/>
    <mergeCell ref="F27:F32"/>
    <mergeCell ref="S27:S32"/>
    <mergeCell ref="T27:T32"/>
    <mergeCell ref="U27:U32"/>
    <mergeCell ref="V27:V32"/>
    <mergeCell ref="W27:W32"/>
    <mergeCell ref="X27:X32"/>
    <mergeCell ref="T34:T37"/>
    <mergeCell ref="U34:U37"/>
    <mergeCell ref="V34:V37"/>
    <mergeCell ref="W34:W37"/>
    <mergeCell ref="G27:G32"/>
    <mergeCell ref="Q27:Q32"/>
    <mergeCell ref="R27:R32"/>
    <mergeCell ref="Y18:Y26"/>
    <mergeCell ref="D19:E19"/>
    <mergeCell ref="D20:E20"/>
    <mergeCell ref="D21:E21"/>
    <mergeCell ref="D22:E22"/>
    <mergeCell ref="D23:E23"/>
    <mergeCell ref="D24:E24"/>
    <mergeCell ref="D25:E25"/>
    <mergeCell ref="D26:E26"/>
    <mergeCell ref="Q18:Q26"/>
    <mergeCell ref="T18:T26"/>
    <mergeCell ref="U18:U26"/>
    <mergeCell ref="V18:V26"/>
    <mergeCell ref="W18:W26"/>
    <mergeCell ref="X18:X26"/>
    <mergeCell ref="Y27:Y32"/>
    <mergeCell ref="D28:E28"/>
    <mergeCell ref="D29:E29"/>
    <mergeCell ref="D30:E30"/>
    <mergeCell ref="D31:E31"/>
    <mergeCell ref="D32:E32"/>
    <mergeCell ref="Y13:Y14"/>
    <mergeCell ref="D14:E14"/>
    <mergeCell ref="B15:C16"/>
    <mergeCell ref="D15:E15"/>
    <mergeCell ref="F15:F16"/>
    <mergeCell ref="G15:G16"/>
    <mergeCell ref="D16:E16"/>
    <mergeCell ref="Q13:Q14"/>
    <mergeCell ref="R13:R14"/>
    <mergeCell ref="S13:S14"/>
    <mergeCell ref="T13:T14"/>
    <mergeCell ref="U13:U14"/>
    <mergeCell ref="V13:V14"/>
    <mergeCell ref="D11:E11"/>
    <mergeCell ref="D12:E12"/>
    <mergeCell ref="B13:C14"/>
    <mergeCell ref="D13:E13"/>
    <mergeCell ref="F13:F14"/>
    <mergeCell ref="G13:G14"/>
    <mergeCell ref="B17:E17"/>
    <mergeCell ref="G17:H17"/>
    <mergeCell ref="Y6:Y8"/>
    <mergeCell ref="D7:E7"/>
    <mergeCell ref="D8:E8"/>
    <mergeCell ref="B9:E9"/>
    <mergeCell ref="G9:H9"/>
    <mergeCell ref="B10:C12"/>
    <mergeCell ref="D10:E10"/>
    <mergeCell ref="F10:F12"/>
    <mergeCell ref="G10:G12"/>
    <mergeCell ref="Y10:Y12"/>
    <mergeCell ref="B6:C8"/>
    <mergeCell ref="D6:E6"/>
    <mergeCell ref="F6:F8"/>
    <mergeCell ref="G6:G8"/>
    <mergeCell ref="W13:W14"/>
    <mergeCell ref="X13:X14"/>
    <mergeCell ref="A1:D1"/>
    <mergeCell ref="E1:O1"/>
    <mergeCell ref="Z1:AH1"/>
    <mergeCell ref="A3:E4"/>
    <mergeCell ref="F3:F4"/>
    <mergeCell ref="G3:H4"/>
    <mergeCell ref="I3:K3"/>
    <mergeCell ref="L3:M3"/>
    <mergeCell ref="N3:O3"/>
    <mergeCell ref="P3:P4"/>
    <mergeCell ref="W3:W4"/>
    <mergeCell ref="X3:X4"/>
    <mergeCell ref="Y3:Y4"/>
    <mergeCell ref="S3:S4"/>
    <mergeCell ref="T3:T4"/>
    <mergeCell ref="U3:U4"/>
    <mergeCell ref="V3:V4"/>
    <mergeCell ref="Q3:Q4"/>
    <mergeCell ref="R3:R4"/>
  </mergeCells>
  <phoneticPr fontId="14" type="noConversion"/>
  <conditionalFormatting sqref="C27:E32">
    <cfRule type="notContainsBlanks" dxfId="84" priority="65">
      <formula>LEN(TRIM(C27))&gt;0</formula>
    </cfRule>
  </conditionalFormatting>
  <conditionalFormatting sqref="D24:E26">
    <cfRule type="notContainsBlanks" dxfId="83" priority="66">
      <formula>LEN(TRIM(D24))&gt;0</formula>
    </cfRule>
  </conditionalFormatting>
  <conditionalFormatting sqref="F38">
    <cfRule type="cellIs" dxfId="82" priority="63" operator="equal">
      <formula>272</formula>
    </cfRule>
    <cfRule type="cellIs" dxfId="81" priority="62" operator="between">
      <formula>272</formula>
      <formula>136</formula>
    </cfRule>
    <cfRule type="cellIs" dxfId="80" priority="61" operator="between">
      <formula>272</formula>
      <formula>306</formula>
    </cfRule>
  </conditionalFormatting>
  <conditionalFormatting sqref="G13">
    <cfRule type="expression" dxfId="79" priority="41">
      <formula>IF(OR(G13&lt;272,G13&gt;326),1,0)</formula>
    </cfRule>
    <cfRule type="expression" dxfId="78" priority="42">
      <formula>IF(AND(G13&gt;=272,G13&lt;=326),1,0)</formula>
    </cfRule>
  </conditionalFormatting>
  <conditionalFormatting sqref="G15:G16">
    <cfRule type="expression" dxfId="77" priority="40">
      <formula>IF(G15&gt;=#REF!,1,0)</formula>
    </cfRule>
    <cfRule type="expression" dxfId="76" priority="39">
      <formula>IF(G15&lt;#REF!,1,0)</formula>
    </cfRule>
    <cfRule type="expression" dxfId="75" priority="38">
      <formula>IF(G15&gt;=238,1,0)</formula>
    </cfRule>
    <cfRule type="expression" dxfId="74" priority="37">
      <formula>IF(G15&lt;238,1,0)</formula>
    </cfRule>
  </conditionalFormatting>
  <conditionalFormatting sqref="G17">
    <cfRule type="expression" dxfId="73" priority="68">
      <formula>IF(OR($G$17&lt;$W$17,$G$17&gt;$X$17),1,0)</formula>
    </cfRule>
    <cfRule type="expression" dxfId="72" priority="69">
      <formula>IF(AND($G$17&gt;=$W$17,$G$17&lt;=$X$17),1,0)</formula>
    </cfRule>
  </conditionalFormatting>
  <conditionalFormatting sqref="G18:G26">
    <cfRule type="cellIs" dxfId="71" priority="7" operator="greaterThan">
      <formula>204</formula>
    </cfRule>
    <cfRule type="cellIs" dxfId="70" priority="8" operator="lessThan">
      <formula>136</formula>
    </cfRule>
  </conditionalFormatting>
  <conditionalFormatting sqref="G27:G32">
    <cfRule type="cellIs" dxfId="69" priority="27" operator="lessThan">
      <formula>33</formula>
    </cfRule>
  </conditionalFormatting>
  <conditionalFormatting sqref="G39:G40">
    <cfRule type="cellIs" dxfId="68" priority="6" operator="lessThan">
      <formula>102</formula>
    </cfRule>
  </conditionalFormatting>
  <conditionalFormatting sqref="G5:H5">
    <cfRule type="expression" dxfId="67" priority="71">
      <formula>IF(AND($G$5&gt;=$W$5,$G$5&lt;=$X$5),1,0)</formula>
    </cfRule>
    <cfRule type="expression" dxfId="66" priority="70">
      <formula>IF(OR($G$5&lt;$W$5,$G$5&gt;$X$5),1,0)</formula>
    </cfRule>
  </conditionalFormatting>
  <conditionalFormatting sqref="G9:H9">
    <cfRule type="expression" dxfId="65" priority="73">
      <formula>IF(AND($G$9&gt;=$W$9,$G$9&lt;=$X$9),1,0)</formula>
    </cfRule>
    <cfRule type="expression" dxfId="64" priority="72">
      <formula>IF(OR($G$9&lt;$W$9,$G$9&gt;$X$9),1,0)</formula>
    </cfRule>
  </conditionalFormatting>
  <conditionalFormatting sqref="G42:H42">
    <cfRule type="expression" dxfId="63" priority="44">
      <formula>IF($G$42&gt;=3366,1,0)</formula>
    </cfRule>
    <cfRule type="expression" dxfId="62" priority="43">
      <formula>IF($G$42&lt;3366,1,0)</formula>
    </cfRule>
  </conditionalFormatting>
  <conditionalFormatting sqref="H6">
    <cfRule type="expression" dxfId="61" priority="74">
      <formula>IF(OR($H$6&lt;$W$6,$H6&gt;$X$6),1,0)</formula>
    </cfRule>
    <cfRule type="expression" dxfId="60" priority="75">
      <formula>IF(AND($H$6&gt;=$W$6,$H$6&lt;=$X$6),1,0)</formula>
    </cfRule>
  </conditionalFormatting>
  <conditionalFormatting sqref="H7">
    <cfRule type="expression" dxfId="59" priority="77">
      <formula>IF(AND($H$7&gt;=$W$7,$H$7&lt;=$X$7),1,0)</formula>
    </cfRule>
    <cfRule type="expression" dxfId="58" priority="76">
      <formula>IF(OR($H$7&lt;$W$7,$H7&gt;$X$7),1,0)</formula>
    </cfRule>
  </conditionalFormatting>
  <conditionalFormatting sqref="H8">
    <cfRule type="expression" dxfId="57" priority="79">
      <formula>IF(AND($H$8&gt;=$W$8,$H$8&lt;=$X$8),1,0)</formula>
    </cfRule>
    <cfRule type="expression" dxfId="56" priority="78">
      <formula>IF(OR($H$8&lt;$W$8,$H8&gt;$X$8),1,0)</formula>
    </cfRule>
  </conditionalFormatting>
  <conditionalFormatting sqref="H10">
    <cfRule type="expression" dxfId="55" priority="80">
      <formula>IF(OR($H$10&lt;$W$10,$H10&gt;$X$10),1,0)</formula>
    </cfRule>
    <cfRule type="expression" dxfId="54" priority="81">
      <formula>IF(AND($H$10&gt;=$W$10,$H$10&lt;=$X$10),1,0)</formula>
    </cfRule>
  </conditionalFormatting>
  <conditionalFormatting sqref="H11">
    <cfRule type="expression" dxfId="53" priority="82">
      <formula>IF(OR($H$11&lt;$W$11,$H11&gt;$X$11),1,0)</formula>
    </cfRule>
    <cfRule type="expression" dxfId="52" priority="83">
      <formula>IF(AND($H$11&gt;=$W$11,$H$11&lt;=$X$11),1,0)</formula>
    </cfRule>
  </conditionalFormatting>
  <conditionalFormatting sqref="H12">
    <cfRule type="cellIs" dxfId="51" priority="20" operator="lessThan">
      <formula>68</formula>
    </cfRule>
  </conditionalFormatting>
  <conditionalFormatting sqref="H13">
    <cfRule type="expression" dxfId="50" priority="85">
      <formula>IF(AND($H$13&gt;=$W$13,$H$13&lt;=$X$13),1,0)</formula>
    </cfRule>
    <cfRule type="expression" dxfId="49" priority="84">
      <formula>IF(OR($H$13&lt;$W$13,$H13&gt;$X$13),1,0)</formula>
    </cfRule>
  </conditionalFormatting>
  <conditionalFormatting sqref="H14">
    <cfRule type="cellIs" dxfId="48" priority="3" operator="greaterThan">
      <formula>34</formula>
    </cfRule>
  </conditionalFormatting>
  <conditionalFormatting sqref="H15:H16">
    <cfRule type="expression" dxfId="47" priority="35">
      <formula>IF(OR(H15&lt;136,H15&gt;163),1,0)</formula>
    </cfRule>
    <cfRule type="expression" dxfId="46" priority="36">
      <formula>IF(AND(H15&gt;=136,H15&lt;=163),1,0)</formula>
    </cfRule>
  </conditionalFormatting>
  <conditionalFormatting sqref="I43:O43">
    <cfRule type="cellIs" dxfId="45" priority="60" operator="greaterThan">
      <formula>8</formula>
    </cfRule>
  </conditionalFormatting>
  <conditionalFormatting sqref="J42">
    <cfRule type="cellIs" dxfId="44" priority="59" operator="notEqual">
      <formula>$I$42</formula>
    </cfRule>
  </conditionalFormatting>
  <conditionalFormatting sqref="P13">
    <cfRule type="notContainsText" dxfId="43" priority="16" operator="notContains" text="6">
      <formula>ISERROR(SEARCH("6",P13))</formula>
    </cfRule>
  </conditionalFormatting>
  <conditionalFormatting sqref="P14">
    <cfRule type="cellIs" dxfId="42" priority="2" operator="greaterThanOrEqual">
      <formula>3</formula>
    </cfRule>
  </conditionalFormatting>
  <conditionalFormatting sqref="Q5">
    <cfRule type="cellIs" dxfId="41" priority="57" operator="greaterThan">
      <formula>88</formula>
    </cfRule>
    <cfRule type="cellIs" dxfId="40" priority="58" operator="lessThan">
      <formula>-88</formula>
    </cfRule>
  </conditionalFormatting>
  <conditionalFormatting sqref="Q6:Q8">
    <cfRule type="cellIs" dxfId="39" priority="55" operator="lessThan">
      <formula>-34</formula>
    </cfRule>
    <cfRule type="cellIs" dxfId="38" priority="56" operator="greaterThan">
      <formula>34</formula>
    </cfRule>
  </conditionalFormatting>
  <conditionalFormatting sqref="Q9:Q10">
    <cfRule type="cellIs" dxfId="37" priority="54" operator="greaterThan">
      <formula>74</formula>
    </cfRule>
    <cfRule type="cellIs" dxfId="36" priority="53" operator="lessThan">
      <formula>-74</formula>
    </cfRule>
  </conditionalFormatting>
  <conditionalFormatting sqref="Q11">
    <cfRule type="cellIs" dxfId="35" priority="51" operator="lessThan">
      <formula>-54</formula>
    </cfRule>
    <cfRule type="cellIs" dxfId="34" priority="52" operator="greaterThan">
      <formula>54</formula>
    </cfRule>
  </conditionalFormatting>
  <conditionalFormatting sqref="Q12:Q13 Q15:Q16">
    <cfRule type="cellIs" dxfId="33" priority="32" operator="lessThan">
      <formula>0</formula>
    </cfRule>
  </conditionalFormatting>
  <conditionalFormatting sqref="Q13">
    <cfRule type="cellIs" dxfId="32" priority="31" operator="greaterThan">
      <formula>54</formula>
    </cfRule>
  </conditionalFormatting>
  <conditionalFormatting sqref="Q15:Q16">
    <cfRule type="cellIs" dxfId="31" priority="47" operator="greaterThan">
      <formula>27</formula>
    </cfRule>
  </conditionalFormatting>
  <conditionalFormatting sqref="Q17">
    <cfRule type="cellIs" dxfId="30" priority="50" operator="greaterThan">
      <formula>68</formula>
    </cfRule>
    <cfRule type="cellIs" dxfId="29" priority="49" operator="lessThan">
      <formula>-68</formula>
    </cfRule>
  </conditionalFormatting>
  <conditionalFormatting sqref="Q18:Q27">
    <cfRule type="cellIs" dxfId="28" priority="45" operator="greaterThan">
      <formula>34</formula>
    </cfRule>
    <cfRule type="cellIs" dxfId="27" priority="46" operator="lessThan">
      <formula>-34</formula>
    </cfRule>
  </conditionalFormatting>
  <conditionalFormatting sqref="Q34:R37 R39:R40">
    <cfRule type="notContainsBlanks" dxfId="26" priority="67">
      <formula>LEN(TRIM(Q34))&gt;0</formula>
    </cfRule>
  </conditionalFormatting>
  <conditionalFormatting sqref="Q34:R37">
    <cfRule type="cellIs" dxfId="25" priority="19" operator="equal">
      <formula>0</formula>
    </cfRule>
  </conditionalFormatting>
  <conditionalFormatting sqref="Q5:S13 Q15:S26">
    <cfRule type="notContainsBlanks" dxfId="24" priority="64">
      <formula>LEN(TRIM(Q5))&gt;0</formula>
    </cfRule>
    <cfRule type="cellIs" dxfId="23" priority="15" operator="equal">
      <formula>0</formula>
    </cfRule>
  </conditionalFormatting>
  <conditionalFormatting sqref="R13 R15:R16">
    <cfRule type="cellIs" dxfId="22" priority="5" operator="notEqual">
      <formula>0</formula>
    </cfRule>
  </conditionalFormatting>
  <conditionalFormatting sqref="R35:R36">
    <cfRule type="cellIs" dxfId="21" priority="4" operator="notEqual">
      <formula>0</formula>
    </cfRule>
  </conditionalFormatting>
  <conditionalFormatting sqref="R39:R40">
    <cfRule type="containsText" dxfId="20" priority="18" operator="containsText" text="0">
      <formula>NOT(ISERROR(SEARCH("0",R39)))</formula>
    </cfRule>
  </conditionalFormatting>
  <conditionalFormatting sqref="R42">
    <cfRule type="cellIs" dxfId="19" priority="34" operator="notEqual">
      <formula>0</formula>
    </cfRule>
  </conditionalFormatting>
  <conditionalFormatting sqref="T5:T13 T15:T26">
    <cfRule type="cellIs" dxfId="18" priority="14" operator="greaterThan">
      <formula>0</formula>
    </cfRule>
    <cfRule type="cellIs" dxfId="17" priority="13" operator="lessThan">
      <formula>0</formula>
    </cfRule>
  </conditionalFormatting>
  <conditionalFormatting sqref="T34:T37">
    <cfRule type="cellIs" dxfId="16" priority="12" operator="greaterThan">
      <formula>0</formula>
    </cfRule>
    <cfRule type="cellIs" dxfId="15" priority="11" operator="lessThan">
      <formula>0</formula>
    </cfRule>
  </conditionalFormatting>
  <conditionalFormatting sqref="T39:T40">
    <cfRule type="cellIs" dxfId="14" priority="10" operator="greaterThan">
      <formula>0</formula>
    </cfRule>
    <cfRule type="cellIs" dxfId="13" priority="9" operator="lessThan">
      <formula>0</formula>
    </cfRule>
  </conditionalFormatting>
  <conditionalFormatting sqref="U5:U13 U15:U26">
    <cfRule type="notContainsText" dxfId="12" priority="30" operator="notContains" text="○">
      <formula>ISERROR(SEARCH("○",U5))</formula>
    </cfRule>
  </conditionalFormatting>
  <conditionalFormatting sqref="U27:U32">
    <cfRule type="containsText" dxfId="11" priority="22" operator="containsText" text="△">
      <formula>NOT(ISERROR(SEARCH("△",U27)))</formula>
    </cfRule>
    <cfRule type="containsText" dxfId="10" priority="21" operator="containsText" text="▽">
      <formula>NOT(ISERROR(SEARCH("▽",U27)))</formula>
    </cfRule>
  </conditionalFormatting>
  <conditionalFormatting sqref="U34">
    <cfRule type="notContainsText" dxfId="9" priority="48" operator="notContains" text="○">
      <formula>ISERROR(SEARCH("○",U34))</formula>
    </cfRule>
  </conditionalFormatting>
  <conditionalFormatting sqref="U39:U40">
    <cfRule type="containsText" dxfId="8" priority="26" operator="containsText" text="▽">
      <formula>NOT(ISERROR(SEARCH("▽",U39)))</formula>
    </cfRule>
    <cfRule type="containsText" dxfId="7" priority="24" operator="containsText" text="△">
      <formula>NOT(ISERROR(SEARCH("△",U39)))</formula>
    </cfRule>
  </conditionalFormatting>
  <conditionalFormatting sqref="U42">
    <cfRule type="containsText" dxfId="6" priority="25" operator="containsText" text="▽">
      <formula>NOT(ISERROR(SEARCH("▽",U42)))</formula>
    </cfRule>
    <cfRule type="containsText" dxfId="5" priority="23" operator="containsText" text="△">
      <formula>NOT(ISERROR(SEARCH("△",U42)))</formula>
    </cfRule>
  </conditionalFormatting>
  <conditionalFormatting sqref="V40:X40">
    <cfRule type="cellIs" dxfId="4" priority="28" operator="lessThan">
      <formula>17</formula>
    </cfRule>
  </conditionalFormatting>
  <conditionalFormatting sqref="Y40">
    <cfRule type="cellIs" dxfId="3" priority="29" operator="lessThan">
      <formula>68</formula>
    </cfRule>
  </conditionalFormatting>
  <conditionalFormatting sqref="Y41">
    <cfRule type="cellIs" dxfId="2" priority="1" operator="notEqual">
      <formula>136</formula>
    </cfRule>
  </conditionalFormatting>
  <conditionalFormatting sqref="Z18">
    <cfRule type="cellIs" dxfId="1" priority="33" operator="greaterThan">
      <formula>0</formula>
    </cfRule>
  </conditionalFormatting>
  <conditionalFormatting sqref="AF24:AF26">
    <cfRule type="containsText" dxfId="0" priority="17" operator="containsText" text="0">
      <formula>NOT(ISERROR(SEARCH("0",AF24)))</formula>
    </cfRule>
  </conditionalFormatting>
  <dataValidations count="1">
    <dataValidation type="list" allowBlank="1" showInputMessage="1" showErrorMessage="1" sqref="C27:C32" xr:uid="{7F5913B3-C188-478A-B2A1-3E5A45A983B1}">
      <formula1>$AF$5:$AF$22</formula1>
    </dataValidation>
  </dataValidations>
  <printOptions horizontalCentered="1" verticalCentered="1"/>
  <pageMargins left="0.39347222447395325" right="0.39347222447395325" top="0.39347222447395325" bottom="0.39347222447395325" header="0" footer="0"/>
  <pageSetup paperSize="9" scale="60" orientation="landscape" r:id="rId1"/>
  <ignoredErrors>
    <ignoredError sqref="Q14:R14 Q18 Q13" formulaRange="1"/>
    <ignoredError sqref="R13" formula="1" formulaRange="1"/>
    <ignoredError sqref="U13 H1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2024학년도 입학생</vt:lpstr>
      <vt:lpstr>2025학년도 입학생</vt:lpstr>
      <vt:lpstr>2026학년도 입학생</vt:lpstr>
      <vt:lpstr>'2024학년도 입학생'!Print_Area</vt:lpstr>
      <vt:lpstr>'2025학년도 입학생'!Print_Area</vt:lpstr>
      <vt:lpstr>'2026학년도 입학생'!Print_Area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leehc</dc:creator>
  <cp:lastModifiedBy>user</cp:lastModifiedBy>
  <cp:revision>4</cp:revision>
  <cp:lastPrinted>2023-06-12T14:37:19Z</cp:lastPrinted>
  <dcterms:created xsi:type="dcterms:W3CDTF">2018-11-05T01:44:45Z</dcterms:created>
  <dcterms:modified xsi:type="dcterms:W3CDTF">2026-02-10T05:38:53Z</dcterms:modified>
  <cp:version>0906.0200.01</cp:version>
</cp:coreProperties>
</file>