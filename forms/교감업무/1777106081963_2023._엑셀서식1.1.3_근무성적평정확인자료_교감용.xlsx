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백업파일_20190104\교감 승진 선물\교원관련\전보 및 다면평가\2022전보관련서식\도교육청 자료 다운\각종 엑셀서식\"/>
    </mc:Choice>
  </mc:AlternateContent>
  <bookViews>
    <workbookView xWindow="0" yWindow="0" windowWidth="28800" windowHeight="12255" tabRatio="279"/>
  </bookViews>
  <sheets>
    <sheet name="근무성적평정 확인자료" sheetId="1" r:id="rId1"/>
  </sheets>
  <calcPr calcId="162913"/>
</workbook>
</file>

<file path=xl/calcChain.xml><?xml version="1.0" encoding="utf-8"?>
<calcChain xmlns="http://schemas.openxmlformats.org/spreadsheetml/2006/main">
  <c r="H5" i="1" l="1"/>
  <c r="H6" i="1"/>
  <c r="O5" i="1"/>
  <c r="O6" i="1"/>
  <c r="K5" i="1"/>
  <c r="K6" i="1"/>
  <c r="K4" i="1"/>
  <c r="H4" i="1" l="1"/>
  <c r="O4" i="1"/>
  <c r="J6" i="1" l="1"/>
  <c r="J5" i="1" l="1"/>
  <c r="J4" i="1"/>
  <c r="L4" i="1" l="1"/>
  <c r="M4" i="1" s="1"/>
</calcChain>
</file>

<file path=xl/sharedStrings.xml><?xml version="1.0" encoding="utf-8"?>
<sst xmlns="http://schemas.openxmlformats.org/spreadsheetml/2006/main" count="70" uniqueCount="55">
  <si>
    <t xml:space="preserve">  </t>
  </si>
  <si>
    <t>①교육
총경력</t>
    <phoneticPr fontId="3" type="noConversion"/>
  </si>
  <si>
    <t>⑤교감
자격
취득일</t>
    <phoneticPr fontId="3" type="noConversion"/>
  </si>
  <si>
    <t>⑤-1교장
자격
취득일</t>
    <phoneticPr fontId="3" type="noConversion"/>
  </si>
  <si>
    <t>⑥교무
(장학)
실적</t>
    <phoneticPr fontId="3" type="noConversion"/>
  </si>
  <si>
    <t>소속</t>
    <phoneticPr fontId="3" type="noConversion"/>
  </si>
  <si>
    <t>직위</t>
    <phoneticPr fontId="3" type="noConversion"/>
  </si>
  <si>
    <t>성명</t>
    <phoneticPr fontId="3" type="noConversion"/>
  </si>
  <si>
    <t>⑦특별
교육
실적</t>
    <phoneticPr fontId="3" type="noConversion"/>
  </si>
  <si>
    <t>⑧업무
추진
능력</t>
    <phoneticPr fontId="3" type="noConversion"/>
  </si>
  <si>
    <t>⑨확인자
평정점</t>
    <phoneticPr fontId="3" type="noConversion"/>
  </si>
  <si>
    <t>⑪평정
총점</t>
    <phoneticPr fontId="3" type="noConversion"/>
  </si>
  <si>
    <t>⑫순위
점수
(평어)</t>
    <phoneticPr fontId="3" type="noConversion"/>
  </si>
  <si>
    <t>연번</t>
    <phoneticPr fontId="3" type="noConversion"/>
  </si>
  <si>
    <t>⑩감점
처리</t>
    <phoneticPr fontId="3" type="noConversion"/>
  </si>
  <si>
    <t>③연령</t>
    <phoneticPr fontId="3" type="noConversion"/>
  </si>
  <si>
    <t>정년예정</t>
    <phoneticPr fontId="3" type="noConversion"/>
  </si>
  <si>
    <t>정년
잔여</t>
    <phoneticPr fontId="3" type="noConversion"/>
  </si>
  <si>
    <t>②현임지
발령일</t>
    <phoneticPr fontId="3" type="noConversion"/>
  </si>
  <si>
    <t>②-1
현임지
경력</t>
    <phoneticPr fontId="3" type="noConversion"/>
  </si>
  <si>
    <r>
      <t xml:space="preserve">‐ 호봉획정을 위한 경력 산정 </t>
    </r>
    <r>
      <rPr>
        <sz val="10"/>
        <color rgb="FF000000"/>
        <rFont val="-윤명조130"/>
        <family val="3"/>
        <charset val="129"/>
      </rPr>
      <t xml:space="preserve">: </t>
    </r>
    <r>
      <rPr>
        <sz val="10"/>
        <color rgb="FF000000"/>
        <rFont val="맑은 고딕"/>
        <family val="3"/>
        <charset val="129"/>
        <scheme val="minor"/>
      </rPr>
      <t>공무원보수규정</t>
    </r>
  </si>
  <si>
    <t>❖ 장학관․교육연구관․장학사 또는 교육연구사의 경력
❖ 5급 이상의 일반직 국가공무원 또는 지방공무원으로서의 교육행정경력</t>
    <phoneticPr fontId="3" type="noConversion"/>
  </si>
  <si>
    <t>❖ 교육부장관이 지정하는 법인인 교육연구기관에서 당해 직위와 상응한 직무를 담당한 경력</t>
    <phoneticPr fontId="3" type="noConversion"/>
  </si>
  <si>
    <t>❖ 교육공무원으로 임용되기 전에 병역법 그밖의 법률에 의한 의무를 수행하기 위하여 징집 또는 소집되거나 근무한 경력
❖ 임용권자가 임용하여 전임으로 근무한 강사(대학의 전임강사 제외) 또는 기간제교원(임시교원의 경력 포함)의 경력
❖ 5급 이하의 일반직 국가공무원 또는 지방공무원으로서의 경력(장학사 교육연구사의 경력평정등급 중 나경력 제2호 제외)
❖ 고등교육법 제14조의 규정에 의한 조교의 경력</t>
    <phoneticPr fontId="3" type="noConversion"/>
  </si>
  <si>
    <t>기관
번호</t>
    <phoneticPr fontId="3" type="noConversion"/>
  </si>
  <si>
    <t>남/여</t>
    <phoneticPr fontId="3" type="noConversion"/>
  </si>
  <si>
    <t>④-1
상응직
(경력)</t>
    <phoneticPr fontId="3" type="noConversion"/>
  </si>
  <si>
    <r>
      <t>○「승진규정」별표</t>
    </r>
    <r>
      <rPr>
        <sz val="10"/>
        <color rgb="FF000000"/>
        <rFont val="-윤명조130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의 경력종별을 교육경력․교육행정경력 등으로 구분하면 다음과 같음</t>
    </r>
    <phoneticPr fontId="3" type="noConversion"/>
  </si>
  <si>
    <t>주민번호
(숫자만)</t>
    <phoneticPr fontId="3" type="noConversion"/>
  </si>
  <si>
    <t>노란셀은보호되어있음</t>
    <phoneticPr fontId="3" type="noConversion"/>
  </si>
  <si>
    <t>④상응직
발령일
(현직급발령일)</t>
    <phoneticPr fontId="3" type="noConversion"/>
  </si>
  <si>
    <t>교감</t>
    <phoneticPr fontId="3" type="noConversion"/>
  </si>
  <si>
    <t>한교감</t>
    <phoneticPr fontId="3" type="noConversion"/>
  </si>
  <si>
    <r>
      <t xml:space="preserve">‐ 교원자격검정을 위한 경력 인정 </t>
    </r>
    <r>
      <rPr>
        <sz val="10"/>
        <color rgb="FF000000"/>
        <rFont val="-윤명조130"/>
        <family val="3"/>
        <charset val="129"/>
      </rPr>
      <t xml:space="preserve">: </t>
    </r>
    <r>
      <rPr>
        <sz val="10"/>
        <color rgb="FF000000"/>
        <rFont val="맑은 고딕"/>
        <family val="3"/>
        <charset val="129"/>
        <scheme val="minor"/>
      </rPr>
      <t>교원자격검정령</t>
    </r>
    <phoneticPr fontId="3" type="noConversion"/>
  </si>
  <si>
    <t>&lt;엑셀서식 1.1.3&gt;</t>
    <phoneticPr fontId="3" type="noConversion"/>
  </si>
  <si>
    <t>고123</t>
    <phoneticPr fontId="3" type="noConversion"/>
  </si>
  <si>
    <t>한국고등학교</t>
    <phoneticPr fontId="3" type="noConversion"/>
  </si>
  <si>
    <t>* 해상사항없으면 공란으로 함</t>
    <phoneticPr fontId="3" type="noConversion"/>
  </si>
  <si>
    <t>* 파일명 : 기관번호_00고_홍길동.xlsX 예) 고123_중앙고_홍길동</t>
    <phoneticPr fontId="3" type="noConversion"/>
  </si>
  <si>
    <t>* 상응직경력 : 교감경력+장학사경력+교육연구사 경력</t>
    <phoneticPr fontId="3" type="noConversion"/>
  </si>
  <si>
    <t>* [①교육총경력]：&lt;경력평정표&gt;의 경력(교육/교육행정/교육연구/기타 경력) - 경력이 29년 2개월 9일이라면 ‘29.02’으로 작성함</t>
    <phoneticPr fontId="3" type="noConversion"/>
  </si>
  <si>
    <r>
      <t>※ 참고：경력은 경력산정의 목적에 따라 인정되는 내용이 각각 다르며</t>
    </r>
    <r>
      <rPr>
        <sz val="10"/>
        <color rgb="FF000000"/>
        <rFont val="-윤명조150"/>
        <family val="3"/>
        <charset val="129"/>
      </rPr>
      <t xml:space="preserve">, </t>
    </r>
    <r>
      <rPr>
        <sz val="10"/>
        <color rgb="FF000000"/>
        <rFont val="맑은 고딕"/>
        <family val="3"/>
        <charset val="129"/>
        <scheme val="minor"/>
      </rPr>
      <t>구체적인 인정내용은 소관 법령 및 공문에서 규정하고 있어</t>
    </r>
    <r>
      <rPr>
        <sz val="10"/>
        <color rgb="FF000000"/>
        <rFont val="-윤명조150"/>
        <family val="3"/>
        <charset val="129"/>
      </rPr>
      <t xml:space="preserve">, </t>
    </r>
    <r>
      <rPr>
        <sz val="10"/>
        <color rgb="FF000000"/>
        <rFont val="맑은 고딕"/>
        <family val="3"/>
        <charset val="129"/>
        <scheme val="minor"/>
      </rPr>
      <t>산정 목적에 따라 소관 법령과 공문에 따라야 함</t>
    </r>
    <r>
      <rPr>
        <sz val="10"/>
        <color rgb="FF000000"/>
        <rFont val="-윤명조150"/>
        <family val="3"/>
        <charset val="129"/>
      </rPr>
      <t xml:space="preserve">. </t>
    </r>
    <phoneticPr fontId="3" type="noConversion"/>
  </si>
  <si>
    <r>
      <t xml:space="preserve">‐ 승진임용을 위한 경력 평정 </t>
    </r>
    <r>
      <rPr>
        <sz val="10"/>
        <color rgb="FF000000"/>
        <rFont val="-윤명조130"/>
        <family val="3"/>
        <charset val="129"/>
      </rPr>
      <t xml:space="preserve">: </t>
    </r>
    <r>
      <rPr>
        <sz val="10"/>
        <color rgb="FF000000"/>
        <rFont val="맑은 고딕"/>
        <family val="3"/>
        <charset val="129"/>
        <scheme val="minor"/>
      </rPr>
      <t>교육공무원승진규정</t>
    </r>
    <phoneticPr fontId="3" type="noConversion"/>
  </si>
  <si>
    <t>교육 경력</t>
    <phoneticPr fontId="3" type="noConversion"/>
  </si>
  <si>
    <t>종     류</t>
    <phoneticPr fontId="3" type="noConversion"/>
  </si>
  <si>
    <t>내                            용</t>
    <phoneticPr fontId="3" type="noConversion"/>
  </si>
  <si>
    <t>교육행정 경력</t>
    <phoneticPr fontId="3" type="noConversion"/>
  </si>
  <si>
    <t>교육연구 경력</t>
    <phoneticPr fontId="3" type="noConversion"/>
  </si>
  <si>
    <t>기타 경력</t>
    <phoneticPr fontId="3" type="noConversion"/>
  </si>
  <si>
    <r>
      <t>❖ 각급학교 교장․교감 또는 교사</t>
    </r>
    <r>
      <rPr>
        <sz val="10"/>
        <color rgb="FF000000"/>
        <rFont val="-윤명조130"/>
        <family val="3"/>
        <charset val="129"/>
      </rPr>
      <t>(</t>
    </r>
    <r>
      <rPr>
        <sz val="10"/>
        <color rgb="FF000000"/>
        <rFont val="맑은 고딕"/>
        <family val="3"/>
        <charset val="129"/>
        <scheme val="minor"/>
      </rPr>
      <t>전임강사이상의 대학교원 및 중학교 또는 고등학교 졸업학력이 인정되는 사회교육시설에서 동등급 교원자격증을 가지고 학생을</t>
    </r>
    <r>
      <rPr>
        <sz val="10"/>
        <color rgb="FF000000"/>
        <rFont val="-윤명조130"/>
        <family val="3"/>
        <charset val="129"/>
      </rPr>
      <t xml:space="preserve"> </t>
    </r>
    <r>
      <rPr>
        <sz val="10"/>
        <color rgb="FF000000"/>
        <rFont val="맑은 고딕"/>
        <family val="3"/>
        <charset val="129"/>
        <scheme val="minor"/>
      </rPr>
      <t>지도한
    경력을 포함</t>
    </r>
    <r>
      <rPr>
        <sz val="10"/>
        <color rgb="FF000000"/>
        <rFont val="-윤명조130"/>
        <family val="3"/>
        <charset val="129"/>
      </rPr>
      <t>)</t>
    </r>
    <r>
      <rPr>
        <sz val="10"/>
        <color rgb="FF000000"/>
        <rFont val="맑은 고딕"/>
        <family val="3"/>
        <charset val="129"/>
        <scheme val="minor"/>
      </rPr>
      <t>의 경력</t>
    </r>
    <phoneticPr fontId="3" type="noConversion"/>
  </si>
  <si>
    <t>* 현임지경력과 상응직 경력 기준일: 2023.02.28.</t>
    <phoneticPr fontId="3" type="noConversion"/>
  </si>
  <si>
    <t>* ⑩감점처리 : 행정감사결과 처분이나, 징계에 따른 감점 내용을 기재(2023교육공무원 평정업무처리요령 8쪽 참조)</t>
    <phoneticPr fontId="3" type="noConversion"/>
  </si>
  <si>
    <r>
      <t xml:space="preserve">* ⑩감점처리해당기간 : 2022.3.1.-2023.2.28.의 징계 사항 기록 </t>
    </r>
    <r>
      <rPr>
        <sz val="10"/>
        <color rgb="FFFF0000"/>
        <rFont val="맑은 고딕"/>
        <family val="3"/>
        <charset val="129"/>
        <scheme val="minor"/>
      </rPr>
      <t>예) 주의 3, 견책 1 등</t>
    </r>
    <phoneticPr fontId="3" type="noConversion"/>
  </si>
  <si>
    <t>* [①교육총경력] 기준일 : 2023.2.28.</t>
    <phoneticPr fontId="3" type="noConversion"/>
  </si>
  <si>
    <t>(교감) 근무성적평정 확인자료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</si>
</sst>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00000\-0000000"/>
    <numFmt numFmtId="177" formatCode="0.00_);[Red]\(0.00\)"/>
    <numFmt numFmtId="178" formatCode="0.00;[Red]0.00"/>
  </numFmts>
  <fonts count="17">
    <font>
      <sz val="11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신명 신명조"/>
      <family val="3"/>
      <charset val="129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-윤명조130"/>
      <family val="3"/>
      <charset val="129"/>
    </font>
    <font>
      <sz val="10"/>
      <color rgb="FF0000FF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FF"/>
      <name val="맑은 고딕"/>
      <family val="2"/>
      <charset val="129"/>
      <scheme val="minor"/>
    </font>
    <font>
      <sz val="10"/>
      <color rgb="FF000000"/>
      <name val="-윤명조150"/>
      <family val="3"/>
      <charset val="129"/>
    </font>
    <font>
      <sz val="10"/>
      <color rgb="FF000000"/>
      <name val="신명 신명조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신명 신명조"/>
      <family val="3"/>
      <charset val="129"/>
    </font>
    <font>
      <b/>
      <sz val="11"/>
      <color rgb="FF0000FF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Border="1" applyAlignment="1" applyProtection="1">
      <alignment horizontal="center" vertical="center" wrapText="1"/>
    </xf>
    <xf numFmtId="0" fontId="9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14" fontId="12" fillId="0" borderId="1" xfId="0" applyNumberFormat="1" applyFont="1" applyBorder="1" applyAlignment="1" applyProtection="1">
      <alignment horizontal="center" vertical="center" wrapText="1"/>
      <protection locked="0"/>
    </xf>
    <xf numFmtId="176" fontId="6" fillId="0" borderId="1" xfId="0" applyNumberFormat="1" applyFont="1" applyBorder="1" applyAlignment="1" applyProtection="1">
      <alignment horizontal="center" vertical="center" wrapText="1"/>
      <protection locked="0"/>
    </xf>
    <xf numFmtId="176" fontId="6" fillId="3" borderId="1" xfId="0" applyNumberFormat="1" applyFont="1" applyFill="1" applyBorder="1" applyAlignment="1" applyProtection="1">
      <alignment horizontal="center" vertical="center" wrapText="1"/>
    </xf>
    <xf numFmtId="0" fontId="12" fillId="3" borderId="1" xfId="0" applyFont="1" applyFill="1" applyBorder="1" applyAlignment="1" applyProtection="1">
      <alignment horizontal="center" vertical="center" wrapText="1"/>
    </xf>
    <xf numFmtId="177" fontId="6" fillId="3" borderId="1" xfId="0" applyNumberFormat="1" applyFont="1" applyFill="1" applyBorder="1" applyAlignment="1" applyProtection="1">
      <alignment horizontal="center" vertical="center" wrapText="1"/>
    </xf>
    <xf numFmtId="14" fontId="0" fillId="0" borderId="0" xfId="0" applyNumberFormat="1">
      <alignment vertical="center"/>
    </xf>
    <xf numFmtId="178" fontId="12" fillId="3" borderId="1" xfId="0" applyNumberFormat="1" applyFont="1" applyFill="1" applyBorder="1" applyAlignment="1" applyProtection="1">
      <alignment horizontal="center" vertical="center" wrapText="1"/>
    </xf>
    <xf numFmtId="177" fontId="12" fillId="3" borderId="1" xfId="0" applyNumberFormat="1" applyFont="1" applyFill="1" applyBorder="1" applyAlignment="1" applyProtection="1">
      <alignment horizontal="center" vertical="center" wrapText="1"/>
    </xf>
    <xf numFmtId="0" fontId="13" fillId="0" borderId="0" xfId="0" applyFont="1">
      <alignment vertical="center"/>
    </xf>
    <xf numFmtId="0" fontId="15" fillId="0" borderId="1" xfId="0" applyFont="1" applyBorder="1" applyAlignment="1" applyProtection="1">
      <alignment horizontal="center" vertical="center" wrapText="1"/>
      <protection locked="0"/>
    </xf>
    <xf numFmtId="14" fontId="1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0" applyFont="1" applyBorder="1" applyAlignment="1" applyProtection="1">
      <alignment horizontal="left" vertical="center" wrapText="1"/>
    </xf>
    <xf numFmtId="0" fontId="9" fillId="0" borderId="0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4"/>
  <sheetViews>
    <sheetView tabSelected="1" workbookViewId="0">
      <selection sqref="A1:X1"/>
    </sheetView>
  </sheetViews>
  <sheetFormatPr defaultRowHeight="16.5"/>
  <cols>
    <col min="1" max="1" width="4.625" bestFit="1" customWidth="1"/>
    <col min="2" max="2" width="18.125" customWidth="1"/>
    <col min="3" max="3" width="5.375" customWidth="1"/>
    <col min="4" max="5" width="6" bestFit="1" customWidth="1"/>
    <col min="6" max="6" width="6.125" bestFit="1" customWidth="1"/>
    <col min="7" max="7" width="10.25" bestFit="1" customWidth="1"/>
    <col min="8" max="8" width="6.125" bestFit="1" customWidth="1"/>
    <col min="9" max="9" width="14.875" bestFit="1" customWidth="1"/>
    <col min="10" max="10" width="5.125" bestFit="1" customWidth="1"/>
    <col min="11" max="11" width="9.75" customWidth="1"/>
    <col min="12" max="12" width="11" bestFit="1" customWidth="1"/>
    <col min="13" max="13" width="7.875" bestFit="1" customWidth="1"/>
    <col min="14" max="14" width="12.5" customWidth="1"/>
    <col min="15" max="15" width="8.5" bestFit="1" customWidth="1"/>
    <col min="16" max="16" width="11.125" bestFit="1" customWidth="1"/>
    <col min="17" max="17" width="10.25" bestFit="1" customWidth="1"/>
    <col min="18" max="21" width="0" hidden="1" customWidth="1"/>
    <col min="22" max="22" width="11.375" customWidth="1"/>
    <col min="23" max="24" width="0" hidden="1" customWidth="1"/>
  </cols>
  <sheetData>
    <row r="1" spans="1:24" ht="26.25">
      <c r="A1" s="27" t="s">
        <v>54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>
      <c r="A2" s="29" t="s">
        <v>34</v>
      </c>
      <c r="B2" s="29"/>
      <c r="C2" s="3"/>
      <c r="N2" s="23">
        <v>44985</v>
      </c>
      <c r="P2" s="18"/>
      <c r="Q2" s="21" t="s">
        <v>29</v>
      </c>
    </row>
    <row r="3" spans="1:24" ht="40.5">
      <c r="A3" s="7" t="s">
        <v>13</v>
      </c>
      <c r="B3" s="7" t="s">
        <v>5</v>
      </c>
      <c r="C3" s="7" t="s">
        <v>24</v>
      </c>
      <c r="D3" s="7" t="s">
        <v>6</v>
      </c>
      <c r="E3" s="7" t="s">
        <v>7</v>
      </c>
      <c r="F3" s="7" t="s">
        <v>1</v>
      </c>
      <c r="G3" s="7" t="s">
        <v>18</v>
      </c>
      <c r="H3" s="7" t="s">
        <v>19</v>
      </c>
      <c r="I3" s="7" t="s">
        <v>28</v>
      </c>
      <c r="J3" s="7" t="s">
        <v>25</v>
      </c>
      <c r="K3" s="7" t="s">
        <v>15</v>
      </c>
      <c r="L3" s="7" t="s">
        <v>16</v>
      </c>
      <c r="M3" s="7" t="s">
        <v>17</v>
      </c>
      <c r="N3" s="7" t="s">
        <v>30</v>
      </c>
      <c r="O3" s="7" t="s">
        <v>26</v>
      </c>
      <c r="P3" s="7" t="s">
        <v>2</v>
      </c>
      <c r="Q3" s="7" t="s">
        <v>3</v>
      </c>
      <c r="R3" s="7" t="s">
        <v>4</v>
      </c>
      <c r="S3" s="7" t="s">
        <v>8</v>
      </c>
      <c r="T3" s="7" t="s">
        <v>9</v>
      </c>
      <c r="U3" s="7" t="s">
        <v>10</v>
      </c>
      <c r="V3" s="7" t="s">
        <v>14</v>
      </c>
      <c r="W3" s="1" t="s">
        <v>11</v>
      </c>
      <c r="X3" s="1" t="s">
        <v>12</v>
      </c>
    </row>
    <row r="4" spans="1:24">
      <c r="A4" s="10">
        <v>1</v>
      </c>
      <c r="B4" s="11" t="s">
        <v>36</v>
      </c>
      <c r="C4" s="11" t="s">
        <v>35</v>
      </c>
      <c r="D4" s="11" t="s">
        <v>31</v>
      </c>
      <c r="E4" s="11" t="s">
        <v>32</v>
      </c>
      <c r="F4" s="12">
        <v>29.02</v>
      </c>
      <c r="G4" s="13">
        <v>43525</v>
      </c>
      <c r="H4" s="20">
        <f>IF(ISBLANK(G4),"",IF(MONTH($N$2)+1&gt;=MONTH(G4),YEAR($N$2)-YEAR(G4)+(MONTH($N$2)+1-MONTH(G4))*0.01,YEAR($N$2)-YEAR(G4)-1+(12+MONTH($N$2)+1-MONTH(G4))*0.01))</f>
        <v>4</v>
      </c>
      <c r="I4" s="14">
        <v>6809261900000</v>
      </c>
      <c r="J4" s="15" t="str">
        <f t="shared" ref="J4:J6" si="0">IF(MID(I4,7,1)="1","남",IF(MID(I4,7,1)="2","여",""))</f>
        <v>남</v>
      </c>
      <c r="K4" s="16">
        <f>IF(ISBLANK(I4),"",DATEDIF(TEXT(LEFT(I4,6),"00-00-00"),$N$2,"y"))</f>
        <v>54</v>
      </c>
      <c r="L4" s="15" t="str">
        <f>LEFT(LEFT(I4,6),2)+1962+IF(VALUE(MID(LEFT(I4,6),3,2))&gt;8,"1",0)&amp;"년"&amp;" "&amp;IF(VALUE(MID(LEFT(I4,6),3,2))&gt;8,"2월말",IF(VALUE(MID(LEFT(I4,6),3,2))&lt;3,"2월말","8월말"))</f>
        <v>2031년 2월말</v>
      </c>
      <c r="M4" s="17">
        <f>IF(INT(MID(L4,7,1))=2, INT(MID(L4,1,4))-YEAR($N$2), INT(MID(L4,1,4))-YEAR($N$2)+0.06)</f>
        <v>8</v>
      </c>
      <c r="N4" s="13">
        <v>42979</v>
      </c>
      <c r="O4" s="19">
        <f>IF(ISBLANK(N4),"",IF(MONTH($N$2)+1&gt;=MONTH(N4),YEAR($N$2)-YEAR(N4)+(MONTH($N$2)+1-MONTH(N4))*0.01,YEAR($N$2)-YEAR(N4)-1+(12+MONTH($N$2)+1-MONTH(N4))*0.01))</f>
        <v>5.0599999999999996</v>
      </c>
      <c r="P4" s="13">
        <v>42598</v>
      </c>
      <c r="Q4" s="13">
        <v>44483</v>
      </c>
      <c r="R4" s="12" t="s">
        <v>0</v>
      </c>
      <c r="S4" s="12" t="s">
        <v>0</v>
      </c>
      <c r="T4" s="12" t="s">
        <v>0</v>
      </c>
      <c r="U4" s="12" t="s">
        <v>0</v>
      </c>
      <c r="V4" s="22"/>
      <c r="W4" s="2" t="s">
        <v>0</v>
      </c>
      <c r="X4" s="2" t="s">
        <v>0</v>
      </c>
    </row>
    <row r="5" spans="1:24">
      <c r="A5" s="10">
        <v>2</v>
      </c>
      <c r="B5" s="11"/>
      <c r="C5" s="11"/>
      <c r="D5" s="11"/>
      <c r="E5" s="11"/>
      <c r="F5" s="12"/>
      <c r="G5" s="13"/>
      <c r="H5" s="20" t="str">
        <f t="shared" ref="H5:H6" si="1">IF(ISBLANK(G5),"",IF(MONTH($N$2)+1&gt;=MONTH(G5),YEAR($N$2)-YEAR(G5)+(MONTH($N$2)+1-MONTH(G5))*0.01,YEAR($N$2)-YEAR(G5)-1+(12+MONTH($N$2)+1-MONTH(G5))*0.01))</f>
        <v/>
      </c>
      <c r="I5" s="14"/>
      <c r="J5" s="15" t="str">
        <f t="shared" si="0"/>
        <v/>
      </c>
      <c r="K5" s="16" t="str">
        <f t="shared" ref="K5:K6" si="2">IF(ISBLANK(I5),"",DATEDIF(TEXT(LEFT(I5,6),"00-00-00"),$N$2,"y"))</f>
        <v/>
      </c>
      <c r="L5" s="15"/>
      <c r="M5" s="17"/>
      <c r="N5" s="13"/>
      <c r="O5" s="19" t="str">
        <f t="shared" ref="O5:O6" si="3">IF(ISBLANK(N5),"",IF(MONTH($N$2)+1&gt;=MONTH(N5),YEAR($N$2)-YEAR(N5)+(MONTH($N$2)+1-MONTH(N5))*0.01,YEAR($N$2)-YEAR(N5)-1+(12+MONTH($N$2)+1-MONTH(N5))*0.01))</f>
        <v/>
      </c>
      <c r="P5" s="12"/>
      <c r="Q5" s="12"/>
      <c r="R5" s="12" t="s">
        <v>0</v>
      </c>
      <c r="S5" s="12" t="s">
        <v>0</v>
      </c>
      <c r="T5" s="12" t="s">
        <v>0</v>
      </c>
      <c r="U5" s="12" t="s">
        <v>0</v>
      </c>
      <c r="V5" s="22"/>
      <c r="W5" s="2" t="s">
        <v>0</v>
      </c>
      <c r="X5" s="2"/>
    </row>
    <row r="6" spans="1:24">
      <c r="A6" s="10">
        <v>3</v>
      </c>
      <c r="B6" s="11"/>
      <c r="C6" s="11"/>
      <c r="D6" s="11"/>
      <c r="E6" s="11"/>
      <c r="F6" s="12" t="s">
        <v>0</v>
      </c>
      <c r="G6" s="13"/>
      <c r="H6" s="20" t="str">
        <f t="shared" si="1"/>
        <v/>
      </c>
      <c r="I6" s="14"/>
      <c r="J6" s="15" t="str">
        <f t="shared" si="0"/>
        <v/>
      </c>
      <c r="K6" s="16" t="str">
        <f t="shared" si="2"/>
        <v/>
      </c>
      <c r="L6" s="15"/>
      <c r="M6" s="17"/>
      <c r="N6" s="12"/>
      <c r="O6" s="19" t="str">
        <f t="shared" si="3"/>
        <v/>
      </c>
      <c r="P6" s="12"/>
      <c r="Q6" s="12"/>
      <c r="R6" s="12" t="s">
        <v>0</v>
      </c>
      <c r="S6" s="12" t="s">
        <v>0</v>
      </c>
      <c r="T6" s="12" t="s">
        <v>0</v>
      </c>
      <c r="U6" s="12" t="s">
        <v>0</v>
      </c>
      <c r="V6" s="12"/>
      <c r="W6" s="4"/>
      <c r="X6" s="4"/>
    </row>
    <row r="7" spans="1:24" s="6" customFormat="1" ht="13.5">
      <c r="A7" s="5"/>
      <c r="B7" s="35" t="s">
        <v>38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</row>
    <row r="8" spans="1:24" s="6" customFormat="1" ht="13.5">
      <c r="B8" s="36" t="s">
        <v>50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</row>
    <row r="9" spans="1:24" s="6" customFormat="1" ht="13.5">
      <c r="B9" s="33" t="s">
        <v>51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</row>
    <row r="10" spans="1:24" s="6" customFormat="1" ht="13.5">
      <c r="B10" s="34" t="s">
        <v>52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</row>
    <row r="11" spans="1:24" s="6" customFormat="1" ht="13.5">
      <c r="B11" s="31" t="s">
        <v>37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 spans="1:24" s="6" customFormat="1" ht="13.5">
      <c r="B12" s="31" t="s">
        <v>39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</row>
    <row r="13" spans="1:24" s="6" customFormat="1" ht="13.5">
      <c r="B13" s="30" t="s">
        <v>40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</row>
    <row r="14" spans="1:24" s="6" customFormat="1" ht="13.5">
      <c r="B14" s="30" t="s">
        <v>53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</row>
    <row r="15" spans="1:24" s="6" customFormat="1" ht="13.5">
      <c r="B15" s="24" t="s">
        <v>27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4" s="6" customFormat="1" ht="20.25" customHeight="1">
      <c r="B16" s="7" t="s">
        <v>44</v>
      </c>
      <c r="C16" s="25" t="s">
        <v>45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</row>
    <row r="17" spans="2:17" s="9" customFormat="1" ht="37.5" customHeight="1">
      <c r="B17" s="8" t="s">
        <v>43</v>
      </c>
      <c r="C17" s="26" t="s">
        <v>49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2:17" s="6" customFormat="1" ht="42.75" customHeight="1">
      <c r="B18" s="8" t="s">
        <v>46</v>
      </c>
      <c r="C18" s="26" t="s">
        <v>21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</row>
    <row r="19" spans="2:17" s="6" customFormat="1" ht="30.75" customHeight="1">
      <c r="B19" s="8" t="s">
        <v>47</v>
      </c>
      <c r="C19" s="26" t="s">
        <v>22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</row>
    <row r="20" spans="2:17" s="6" customFormat="1" ht="66.75" customHeight="1">
      <c r="B20" s="8" t="s">
        <v>48</v>
      </c>
      <c r="C20" s="26" t="s">
        <v>23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</row>
    <row r="21" spans="2:17" s="6" customFormat="1" ht="35.25" customHeight="1">
      <c r="B21" s="32" t="s">
        <v>41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</row>
    <row r="22" spans="2:17" s="6" customFormat="1" ht="18" customHeight="1">
      <c r="B22" s="24" t="s">
        <v>42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</row>
    <row r="23" spans="2:17" s="6" customFormat="1" ht="13.5">
      <c r="B23" s="24" t="s">
        <v>33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</row>
    <row r="24" spans="2:17" s="6" customFormat="1" ht="13.5">
      <c r="B24" s="24" t="s">
        <v>20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</row>
  </sheetData>
  <mergeCells count="20">
    <mergeCell ref="A1:X1"/>
    <mergeCell ref="A2:B2"/>
    <mergeCell ref="B13:V13"/>
    <mergeCell ref="B21:Q21"/>
    <mergeCell ref="B22:Q22"/>
    <mergeCell ref="B12:V12"/>
    <mergeCell ref="B11:V11"/>
    <mergeCell ref="B9:V9"/>
    <mergeCell ref="B10:V10"/>
    <mergeCell ref="B7:V7"/>
    <mergeCell ref="B8:V8"/>
    <mergeCell ref="B14:V14"/>
    <mergeCell ref="B23:Q23"/>
    <mergeCell ref="B24:Q24"/>
    <mergeCell ref="C16:Q16"/>
    <mergeCell ref="B15:V15"/>
    <mergeCell ref="C17:Q17"/>
    <mergeCell ref="C18:Q18"/>
    <mergeCell ref="C19:Q19"/>
    <mergeCell ref="C20:Q2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근무성적평정 확인자료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</dc:creator>
  <cp:lastModifiedBy>user</cp:lastModifiedBy>
  <cp:lastPrinted>2018-11-19T07:13:17Z</cp:lastPrinted>
  <dcterms:created xsi:type="dcterms:W3CDTF">2014-12-13T22:28:44Z</dcterms:created>
  <dcterms:modified xsi:type="dcterms:W3CDTF">2022-11-30T01:28:56Z</dcterms:modified>
</cp:coreProperties>
</file>