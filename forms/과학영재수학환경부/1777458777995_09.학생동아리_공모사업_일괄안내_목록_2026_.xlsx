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. 임수현\2. 일괄선정 정책공모사업\1. 2026. 일괄안내 사업(전학공_동아리)\3. 학교 알림\"/>
    </mc:Choice>
  </mc:AlternateContent>
  <xr:revisionPtr revIDLastSave="0" documentId="13_ncr:1_{E020029F-D9A8-4D19-95F5-5B2D5D8D18B1}" xr6:coauthVersionLast="47" xr6:coauthVersionMax="47" xr10:uidLastSave="{00000000-0000-0000-0000-000000000000}"/>
  <bookViews>
    <workbookView xWindow="-120" yWindow="-120" windowWidth="29040" windowHeight="15720" xr2:uid="{ABAB20F7-63F0-4486-AD45-F687E8F0E80F}"/>
  </bookViews>
  <sheets>
    <sheet name="학생동아리 목록" sheetId="1" r:id="rId1"/>
    <sheet name="Sheet1" sheetId="3" state="hidden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J8" i="1"/>
  <c r="J11" i="1"/>
  <c r="J12" i="1"/>
  <c r="J10" i="1"/>
  <c r="J6" i="1"/>
  <c r="J5" i="1"/>
</calcChain>
</file>

<file path=xl/sharedStrings.xml><?xml version="1.0" encoding="utf-8"?>
<sst xmlns="http://schemas.openxmlformats.org/spreadsheetml/2006/main" count="78" uniqueCount="67">
  <si>
    <t>순</t>
    <phoneticPr fontId="1" type="noConversion"/>
  </si>
  <si>
    <t>사업명</t>
    <phoneticPr fontId="1" type="noConversion"/>
  </si>
  <si>
    <t>유</t>
    <phoneticPr fontId="1" type="noConversion"/>
  </si>
  <si>
    <t>초</t>
    <phoneticPr fontId="1" type="noConversion"/>
  </si>
  <si>
    <t>중</t>
    <phoneticPr fontId="1" type="noConversion"/>
  </si>
  <si>
    <t>고</t>
    <phoneticPr fontId="1" type="noConversion"/>
  </si>
  <si>
    <t>특</t>
    <phoneticPr fontId="1" type="noConversion"/>
  </si>
  <si>
    <t>계</t>
    <phoneticPr fontId="1" type="noConversion"/>
  </si>
  <si>
    <t>비고</t>
    <phoneticPr fontId="1" type="noConversion"/>
  </si>
  <si>
    <t>일괄공모(정책기획관)</t>
    <phoneticPr fontId="1" type="noConversion"/>
  </si>
  <si>
    <t>별도공모(부서 자체)</t>
    <phoneticPr fontId="1" type="noConversion"/>
  </si>
  <si>
    <t>비고</t>
    <phoneticPr fontId="1" type="noConversion"/>
  </si>
  <si>
    <t>구분</t>
    <phoneticPr fontId="1" type="noConversion"/>
  </si>
  <si>
    <t>전문적학습공동체</t>
    <phoneticPr fontId="1" type="noConversion"/>
  </si>
  <si>
    <t>학생동아리</t>
    <phoneticPr fontId="1" type="noConversion"/>
  </si>
  <si>
    <t>게시번호*</t>
    <phoneticPr fontId="1" type="noConversion"/>
  </si>
  <si>
    <r>
      <t>대상 및 공모(팀) 수</t>
    </r>
    <r>
      <rPr>
        <b/>
        <sz val="10"/>
        <color theme="1"/>
        <rFont val="맑은 고딕"/>
        <family val="3"/>
        <charset val="129"/>
        <scheme val="minor"/>
      </rPr>
      <t xml:space="preserve"> (국립학교 포함인 경우 비고에 기재)</t>
    </r>
    <phoneticPr fontId="1" type="noConversion"/>
  </si>
  <si>
    <t>담당자명</t>
    <phoneticPr fontId="1" type="noConversion"/>
  </si>
  <si>
    <t>사무실
전화번호</t>
    <phoneticPr fontId="1" type="noConversion"/>
  </si>
  <si>
    <t>부서(담당)/
직속기관(부서)</t>
    <phoneticPr fontId="1" type="noConversion"/>
  </si>
  <si>
    <t>홍보담당관(공보담당)</t>
    <phoneticPr fontId="1" type="noConversion"/>
  </si>
  <si>
    <t>학생동아리</t>
  </si>
  <si>
    <t xml:space="preserve">우리글 길라잡이 동아리 </t>
    <phoneticPr fontId="1" type="noConversion"/>
  </si>
  <si>
    <t>김민지</t>
    <phoneticPr fontId="1" type="noConversion"/>
  </si>
  <si>
    <t>278-1785</t>
    <phoneticPr fontId="1" type="noConversion"/>
  </si>
  <si>
    <t>26-162403</t>
    <phoneticPr fontId="1" type="noConversion"/>
  </si>
  <si>
    <t>신청 학교급 수에 따라 조정할 수 있음</t>
    <phoneticPr fontId="1" type="noConversion"/>
  </si>
  <si>
    <t>268-1164</t>
    <phoneticPr fontId="1" type="noConversion"/>
  </si>
  <si>
    <t>이승희</t>
    <phoneticPr fontId="1" type="noConversion"/>
  </si>
  <si>
    <t>중등교육과(역사교육담당)</t>
    <phoneticPr fontId="1" type="noConversion"/>
  </si>
  <si>
    <t>26-162809</t>
    <phoneticPr fontId="1" type="noConversion"/>
  </si>
  <si>
    <t>중,고 10팀(신청 상황에 따라 변동 가능)</t>
    <phoneticPr fontId="1" type="noConversion"/>
  </si>
  <si>
    <t>2026. 학생역사문화동아리</t>
    <phoneticPr fontId="1" type="noConversion"/>
  </si>
  <si>
    <t>210-5273</t>
    <phoneticPr fontId="1" type="noConversion"/>
  </si>
  <si>
    <t>이종원</t>
    <phoneticPr fontId="1" type="noConversion"/>
  </si>
  <si>
    <t>26-162316</t>
    <phoneticPr fontId="1" type="noConversion"/>
  </si>
  <si>
    <t>초,중,고 17교(신청 상황에 따라 변동 가능)</t>
    <phoneticPr fontId="1" type="noConversion"/>
  </si>
  <si>
    <t>회복적생활교육 학생동아리 운영</t>
    <phoneticPr fontId="1" type="noConversion"/>
  </si>
  <si>
    <t>532-2758</t>
    <phoneticPr fontId="1" type="noConversion"/>
  </si>
  <si>
    <t>김계환</t>
    <phoneticPr fontId="1" type="noConversion"/>
  </si>
  <si>
    <t>26-162540</t>
    <phoneticPr fontId="1" type="noConversion"/>
  </si>
  <si>
    <t>2026. 제비생태탐구동아리</t>
    <phoneticPr fontId="1" type="noConversion"/>
  </si>
  <si>
    <r>
      <rPr>
        <sz val="8"/>
        <color theme="1"/>
        <rFont val="맑은 고딕"/>
        <family val="3"/>
        <charset val="129"/>
        <scheme val="minor"/>
      </rPr>
      <t>경상남도교육청 과학교육원</t>
    </r>
    <r>
      <rPr>
        <sz val="11"/>
        <color theme="1"/>
        <rFont val="맑은 고딕"/>
        <family val="2"/>
        <charset val="129"/>
        <scheme val="minor"/>
      </rPr>
      <t xml:space="preserve">
우포생태교육원</t>
    </r>
    <phoneticPr fontId="1" type="noConversion"/>
  </si>
  <si>
    <t>26-162539</t>
    <phoneticPr fontId="1" type="noConversion"/>
  </si>
  <si>
    <t>2026. 생물다양성 동아리</t>
    <phoneticPr fontId="1" type="noConversion"/>
  </si>
  <si>
    <t>210-5133</t>
    <phoneticPr fontId="1" type="noConversion"/>
  </si>
  <si>
    <t>구인숙</t>
    <phoneticPr fontId="1" type="noConversion"/>
  </si>
  <si>
    <t>국립학교 제외</t>
    <phoneticPr fontId="1" type="noConversion"/>
  </si>
  <si>
    <t>창의인재과(융합교육담당)</t>
    <phoneticPr fontId="1" type="noConversion"/>
  </si>
  <si>
    <t>26-162826</t>
    <phoneticPr fontId="1" type="noConversion"/>
  </si>
  <si>
    <r>
      <t>2026년 체험</t>
    </r>
    <r>
      <rPr>
        <sz val="11"/>
        <color theme="1"/>
        <rFont val="Yu Gothic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>탐구형 학생수학동아리</t>
    </r>
    <phoneticPr fontId="1" type="noConversion"/>
  </si>
  <si>
    <t>210-5136</t>
  </si>
  <si>
    <t>전미</t>
  </si>
  <si>
    <t>26-162234</t>
  </si>
  <si>
    <t>초,중,고 대상(구분없음)</t>
  </si>
  <si>
    <t>2026년 메타버스활용 학생동아리</t>
  </si>
  <si>
    <t>창의인재과(융합교육담당)</t>
  </si>
  <si>
    <t>학교별(팀별)
지원 예산
(단위:천원)</t>
    <phoneticPr fontId="1" type="noConversion"/>
  </si>
  <si>
    <r>
      <t xml:space="preserve">초,중,고 10개교 내외
</t>
    </r>
    <r>
      <rPr>
        <sz val="10"/>
        <color theme="1"/>
        <rFont val="맑은 고딕"/>
        <family val="3"/>
        <charset val="129"/>
        <scheme val="minor"/>
      </rPr>
      <t>(신청 상황에 따라 변동 가능)</t>
    </r>
    <phoneticPr fontId="1" type="noConversion"/>
  </si>
  <si>
    <t>민주시민교육과(학교폭력담당)</t>
    <phoneticPr fontId="1" type="noConversion"/>
  </si>
  <si>
    <t>2026. 창업체험교육 동아리</t>
    <phoneticPr fontId="1" type="noConversion"/>
  </si>
  <si>
    <t>2026. 학생동아리 일괄안내 목록</t>
    <phoneticPr fontId="1" type="noConversion"/>
  </si>
  <si>
    <t>진로교육과(진로담당)</t>
    <phoneticPr fontId="1" type="noConversion"/>
  </si>
  <si>
    <t>26-163098</t>
    <phoneticPr fontId="1" type="noConversion"/>
  </si>
  <si>
    <t>정은주</t>
    <phoneticPr fontId="1" type="noConversion"/>
  </si>
  <si>
    <t>268-1385</t>
    <phoneticPr fontId="1" type="noConversion"/>
  </si>
  <si>
    <r>
      <t>*</t>
    </r>
    <r>
      <rPr>
        <b/>
        <sz val="14"/>
        <color rgb="FF0000FF"/>
        <rFont val="맑은 고딕"/>
        <family val="3"/>
        <charset val="129"/>
        <scheme val="minor"/>
      </rPr>
      <t xml:space="preserve"> ‘K-에듀파인/업무관리/업무지원/알림판/일반게시판/전문적학습공동체 및 동아리 운영 계획’에 공모 계획 탑재되어 있음</t>
    </r>
    <r>
      <rPr>
        <b/>
        <sz val="14"/>
        <color theme="1"/>
        <rFont val="맑은 고딕"/>
        <family val="3"/>
        <charset val="129"/>
        <scheme val="minor"/>
      </rPr>
      <t xml:space="preserve">
* 학교에서는 공모 계획 확인 후 해당 부서에 신청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</si>
</sst>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0" borderId="4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wrapText="1" shrinkToFit="1"/>
    </xf>
    <xf numFmtId="0" fontId="0" fillId="0" borderId="9" xfId="0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wrapText="1" shrinkToFit="1"/>
    </xf>
    <xf numFmtId="0" fontId="0" fillId="0" borderId="10" xfId="0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center" vertical="center" wrapText="1" shrinkToFit="1"/>
    </xf>
    <xf numFmtId="176" fontId="0" fillId="0" borderId="10" xfId="0" applyNumberFormat="1" applyFill="1" applyBorder="1" applyAlignment="1">
      <alignment horizontal="right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176" fontId="0" fillId="0" borderId="1" xfId="0" applyNumberFormat="1" applyBorder="1" applyAlignment="1">
      <alignment horizontal="right" vertical="center" shrinkToFit="1"/>
    </xf>
    <xf numFmtId="0" fontId="0" fillId="0" borderId="13" xfId="0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7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shrinkToFit="1"/>
    </xf>
    <xf numFmtId="0" fontId="3" fillId="3" borderId="11" xfId="0" applyFont="1" applyFill="1" applyBorder="1" applyAlignment="1">
      <alignment horizontal="center" vertical="center" shrinkToFit="1"/>
    </xf>
    <xf numFmtId="176" fontId="3" fillId="3" borderId="3" xfId="0" applyNumberFormat="1" applyFont="1" applyFill="1" applyBorder="1" applyAlignment="1">
      <alignment horizontal="center" vertical="center" wrapText="1" shrinkToFit="1"/>
    </xf>
    <xf numFmtId="176" fontId="3" fillId="3" borderId="7" xfId="0" applyNumberFormat="1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wrapText="1" shrinkToFit="1"/>
    </xf>
    <xf numFmtId="0" fontId="9" fillId="5" borderId="14" xfId="0" applyFont="1" applyFill="1" applyBorder="1" applyAlignment="1">
      <alignment horizontal="left" vertical="center" wrapText="1" shrinkToFit="1"/>
    </xf>
    <xf numFmtId="0" fontId="9" fillId="5" borderId="0" xfId="0" applyFont="1" applyFill="1" applyBorder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8A39-1D30-4B82-A7A2-3B23621669DD}">
  <dimension ref="A1:P16"/>
  <sheetViews>
    <sheetView tabSelected="1" view="pageBreakPreview" zoomScale="120" zoomScaleNormal="100" zoomScaleSheetLayoutView="120" workbookViewId="0">
      <selection activeCell="B3" sqref="B3:B4"/>
    </sheetView>
  </sheetViews>
  <sheetFormatPr defaultRowHeight="16.5" x14ac:dyDescent="0.3"/>
  <cols>
    <col min="1" max="1" width="4.5" style="1" customWidth="1"/>
    <col min="2" max="2" width="22.5" style="1" customWidth="1"/>
    <col min="3" max="3" width="18" style="1" customWidth="1"/>
    <col min="4" max="4" width="29.875" style="1" customWidth="1"/>
    <col min="5" max="10" width="4.625" style="1" customWidth="1"/>
    <col min="11" max="11" width="23.75" style="1" customWidth="1"/>
    <col min="12" max="12" width="13.5" style="2" customWidth="1"/>
    <col min="13" max="13" width="13.875" style="1" customWidth="1"/>
    <col min="14" max="14" width="11.875" style="1" customWidth="1"/>
    <col min="15" max="15" width="12" style="3" customWidth="1"/>
    <col min="16" max="16" width="14.375" style="3" customWidth="1"/>
  </cols>
  <sheetData>
    <row r="1" spans="1:16" ht="38.25" x14ac:dyDescent="0.3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7.25" thickBot="1" x14ac:dyDescent="0.35"/>
    <row r="3" spans="1:16" ht="26.25" customHeight="1" x14ac:dyDescent="0.3">
      <c r="A3" s="26" t="s">
        <v>0</v>
      </c>
      <c r="B3" s="23" t="s">
        <v>19</v>
      </c>
      <c r="C3" s="23" t="s">
        <v>12</v>
      </c>
      <c r="D3" s="28" t="s">
        <v>1</v>
      </c>
      <c r="E3" s="28" t="s">
        <v>16</v>
      </c>
      <c r="F3" s="28"/>
      <c r="G3" s="28"/>
      <c r="H3" s="28"/>
      <c r="I3" s="28"/>
      <c r="J3" s="28"/>
      <c r="K3" s="28"/>
      <c r="L3" s="31" t="s">
        <v>57</v>
      </c>
      <c r="M3" s="28" t="s">
        <v>15</v>
      </c>
      <c r="N3" s="28" t="s">
        <v>17</v>
      </c>
      <c r="O3" s="23" t="s">
        <v>18</v>
      </c>
      <c r="P3" s="29" t="s">
        <v>8</v>
      </c>
    </row>
    <row r="4" spans="1:16" ht="21" customHeight="1" thickBot="1" x14ac:dyDescent="0.35">
      <c r="A4" s="27"/>
      <c r="B4" s="24"/>
      <c r="C4" s="33"/>
      <c r="D4" s="24"/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11</v>
      </c>
      <c r="L4" s="32"/>
      <c r="M4" s="24"/>
      <c r="N4" s="24"/>
      <c r="O4" s="24"/>
      <c r="P4" s="30"/>
    </row>
    <row r="5" spans="1:16" s="5" customFormat="1" ht="32.1" customHeight="1" thickTop="1" x14ac:dyDescent="0.3">
      <c r="A5" s="6">
        <v>1</v>
      </c>
      <c r="B5" s="7" t="s">
        <v>20</v>
      </c>
      <c r="C5" s="7" t="s">
        <v>21</v>
      </c>
      <c r="D5" s="7" t="s">
        <v>22</v>
      </c>
      <c r="E5" s="7"/>
      <c r="F5" s="7">
        <v>4</v>
      </c>
      <c r="G5" s="7">
        <v>3</v>
      </c>
      <c r="H5" s="7">
        <v>3</v>
      </c>
      <c r="I5" s="7"/>
      <c r="J5" s="7">
        <f t="shared" ref="J5" si="0">SUM(E5:I5)</f>
        <v>10</v>
      </c>
      <c r="K5" s="7" t="s">
        <v>26</v>
      </c>
      <c r="L5" s="8">
        <v>1000</v>
      </c>
      <c r="M5" s="9" t="s">
        <v>25</v>
      </c>
      <c r="N5" s="7" t="s">
        <v>23</v>
      </c>
      <c r="O5" s="7" t="s">
        <v>24</v>
      </c>
      <c r="P5" s="10"/>
    </row>
    <row r="6" spans="1:16" s="5" customFormat="1" ht="32.1" customHeight="1" x14ac:dyDescent="0.3">
      <c r="A6" s="6">
        <v>2</v>
      </c>
      <c r="B6" s="7" t="s">
        <v>29</v>
      </c>
      <c r="C6" s="7" t="s">
        <v>21</v>
      </c>
      <c r="D6" s="9" t="s">
        <v>32</v>
      </c>
      <c r="E6" s="7"/>
      <c r="F6" s="7"/>
      <c r="G6" s="7">
        <v>5</v>
      </c>
      <c r="H6" s="7">
        <v>5</v>
      </c>
      <c r="I6" s="7"/>
      <c r="J6" s="7">
        <f>SUM(E6:I6)</f>
        <v>10</v>
      </c>
      <c r="K6" s="9" t="s">
        <v>31</v>
      </c>
      <c r="L6" s="8">
        <v>1000</v>
      </c>
      <c r="M6" s="9" t="s">
        <v>30</v>
      </c>
      <c r="N6" s="7" t="s">
        <v>28</v>
      </c>
      <c r="O6" s="7" t="s">
        <v>27</v>
      </c>
      <c r="P6" s="10"/>
    </row>
    <row r="7" spans="1:16" s="5" customFormat="1" ht="32.1" customHeight="1" x14ac:dyDescent="0.3">
      <c r="A7" s="6">
        <v>3</v>
      </c>
      <c r="B7" s="7" t="s">
        <v>62</v>
      </c>
      <c r="C7" s="7" t="s">
        <v>14</v>
      </c>
      <c r="D7" s="9" t="s">
        <v>60</v>
      </c>
      <c r="E7" s="19"/>
      <c r="F7" s="19">
        <v>1</v>
      </c>
      <c r="G7" s="19">
        <v>3</v>
      </c>
      <c r="H7" s="19">
        <v>4</v>
      </c>
      <c r="I7" s="19"/>
      <c r="J7" s="20">
        <f t="shared" ref="J7" si="1">SUM(E7:I7)</f>
        <v>8</v>
      </c>
      <c r="K7" s="20"/>
      <c r="L7" s="21">
        <v>2000</v>
      </c>
      <c r="M7" s="22" t="s">
        <v>63</v>
      </c>
      <c r="N7" s="22" t="s">
        <v>64</v>
      </c>
      <c r="O7" s="22" t="s">
        <v>65</v>
      </c>
      <c r="P7" s="10"/>
    </row>
    <row r="8" spans="1:16" s="5" customFormat="1" ht="32.1" customHeight="1" x14ac:dyDescent="0.3">
      <c r="A8" s="6">
        <v>4</v>
      </c>
      <c r="B8" s="7" t="s">
        <v>48</v>
      </c>
      <c r="C8" s="7" t="s">
        <v>21</v>
      </c>
      <c r="D8" s="7" t="s">
        <v>50</v>
      </c>
      <c r="E8" s="7"/>
      <c r="F8" s="7">
        <v>5</v>
      </c>
      <c r="G8" s="7">
        <v>5</v>
      </c>
      <c r="H8" s="7">
        <v>5</v>
      </c>
      <c r="I8" s="7"/>
      <c r="J8" s="7">
        <f>SUM(E8:I8)</f>
        <v>15</v>
      </c>
      <c r="K8" s="7" t="s">
        <v>47</v>
      </c>
      <c r="L8" s="8">
        <v>1000</v>
      </c>
      <c r="M8" s="9" t="s">
        <v>49</v>
      </c>
      <c r="N8" s="7" t="s">
        <v>46</v>
      </c>
      <c r="O8" s="7" t="s">
        <v>45</v>
      </c>
      <c r="P8" s="10"/>
    </row>
    <row r="9" spans="1:16" s="5" customFormat="1" ht="32.1" customHeight="1" x14ac:dyDescent="0.3">
      <c r="A9" s="6">
        <v>5</v>
      </c>
      <c r="B9" s="7" t="s">
        <v>56</v>
      </c>
      <c r="C9" s="7" t="s">
        <v>21</v>
      </c>
      <c r="D9" s="7" t="s">
        <v>55</v>
      </c>
      <c r="E9" s="7"/>
      <c r="F9" s="7"/>
      <c r="G9" s="7"/>
      <c r="H9" s="7"/>
      <c r="I9" s="7"/>
      <c r="J9" s="7">
        <v>7</v>
      </c>
      <c r="K9" s="7" t="s">
        <v>54</v>
      </c>
      <c r="L9" s="8">
        <v>1000</v>
      </c>
      <c r="M9" s="9" t="s">
        <v>53</v>
      </c>
      <c r="N9" s="7" t="s">
        <v>52</v>
      </c>
      <c r="O9" s="7" t="s">
        <v>51</v>
      </c>
      <c r="P9" s="10"/>
    </row>
    <row r="10" spans="1:16" s="5" customFormat="1" ht="32.1" customHeight="1" x14ac:dyDescent="0.3">
      <c r="A10" s="6">
        <v>6</v>
      </c>
      <c r="B10" s="7" t="s">
        <v>59</v>
      </c>
      <c r="C10" s="7" t="s">
        <v>21</v>
      </c>
      <c r="D10" s="7" t="s">
        <v>37</v>
      </c>
      <c r="E10" s="7"/>
      <c r="F10" s="7">
        <v>5</v>
      </c>
      <c r="G10" s="7">
        <v>7</v>
      </c>
      <c r="H10" s="7">
        <v>5</v>
      </c>
      <c r="I10" s="7"/>
      <c r="J10" s="7">
        <f>SUM(E10:I10)</f>
        <v>17</v>
      </c>
      <c r="K10" s="7" t="s">
        <v>36</v>
      </c>
      <c r="L10" s="8">
        <v>3000</v>
      </c>
      <c r="M10" s="9" t="s">
        <v>35</v>
      </c>
      <c r="N10" s="7" t="s">
        <v>34</v>
      </c>
      <c r="O10" s="7" t="s">
        <v>33</v>
      </c>
      <c r="P10" s="10"/>
    </row>
    <row r="11" spans="1:16" s="5" customFormat="1" ht="32.1" customHeight="1" x14ac:dyDescent="0.3">
      <c r="A11" s="6">
        <v>7</v>
      </c>
      <c r="B11" s="11" t="s">
        <v>42</v>
      </c>
      <c r="C11" s="7" t="s">
        <v>21</v>
      </c>
      <c r="D11" s="7" t="s">
        <v>44</v>
      </c>
      <c r="E11" s="7"/>
      <c r="F11" s="7">
        <v>6</v>
      </c>
      <c r="G11" s="7">
        <v>2</v>
      </c>
      <c r="H11" s="7">
        <v>2</v>
      </c>
      <c r="I11" s="7"/>
      <c r="J11" s="7">
        <f>SUM(E11:I11)</f>
        <v>10</v>
      </c>
      <c r="K11" s="12" t="s">
        <v>58</v>
      </c>
      <c r="L11" s="8">
        <v>200</v>
      </c>
      <c r="M11" s="9" t="s">
        <v>43</v>
      </c>
      <c r="N11" s="7" t="s">
        <v>39</v>
      </c>
      <c r="O11" s="7" t="s">
        <v>38</v>
      </c>
      <c r="P11" s="10"/>
    </row>
    <row r="12" spans="1:16" s="5" customFormat="1" ht="32.1" customHeight="1" thickBot="1" x14ac:dyDescent="0.35">
      <c r="A12" s="13">
        <v>8</v>
      </c>
      <c r="B12" s="14" t="s">
        <v>42</v>
      </c>
      <c r="C12" s="15" t="s">
        <v>21</v>
      </c>
      <c r="D12" s="15" t="s">
        <v>41</v>
      </c>
      <c r="E12" s="15"/>
      <c r="F12" s="15">
        <v>6</v>
      </c>
      <c r="G12" s="15">
        <v>2</v>
      </c>
      <c r="H12" s="15">
        <v>2</v>
      </c>
      <c r="I12" s="15"/>
      <c r="J12" s="15">
        <f>SUM(E12:I12)</f>
        <v>10</v>
      </c>
      <c r="K12" s="16" t="s">
        <v>58</v>
      </c>
      <c r="L12" s="17">
        <v>250</v>
      </c>
      <c r="M12" s="18" t="s">
        <v>40</v>
      </c>
      <c r="N12" s="15" t="s">
        <v>39</v>
      </c>
      <c r="O12" s="15" t="s">
        <v>38</v>
      </c>
      <c r="P12" s="10"/>
    </row>
    <row r="13" spans="1:16" ht="9.75" customHeight="1" x14ac:dyDescent="0.3">
      <c r="K13" s="2"/>
      <c r="L13" s="1"/>
      <c r="M13" s="3"/>
      <c r="N13" s="3"/>
    </row>
    <row r="14" spans="1:16" ht="16.5" customHeight="1" x14ac:dyDescent="0.3">
      <c r="A14" s="34" t="s">
        <v>66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ht="16.5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6" ht="16.5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</sheetData>
  <mergeCells count="12">
    <mergeCell ref="A14:P16"/>
    <mergeCell ref="O3:O4"/>
    <mergeCell ref="A1:P1"/>
    <mergeCell ref="A3:A4"/>
    <mergeCell ref="B3:B4"/>
    <mergeCell ref="D3:D4"/>
    <mergeCell ref="P3:P4"/>
    <mergeCell ref="E3:K3"/>
    <mergeCell ref="L3:L4"/>
    <mergeCell ref="C3:C4"/>
    <mergeCell ref="M3:M4"/>
    <mergeCell ref="N3:N4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DEE5-7E69-40D7-B3B6-FA07B7072C48}">
          <x14:formula1>
            <xm:f>Sheet1!$B$2:$B$3</xm:f>
          </x14:formula1>
          <xm:sqref>C10 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0869-B74C-4588-8389-BEAB7B3B3084}">
  <dimension ref="B2:B3"/>
  <sheetViews>
    <sheetView workbookViewId="0">
      <selection activeCell="B2" sqref="B2"/>
    </sheetView>
  </sheetViews>
  <sheetFormatPr defaultRowHeight="16.5" x14ac:dyDescent="0.3"/>
  <cols>
    <col min="2" max="2" width="29" customWidth="1"/>
  </cols>
  <sheetData>
    <row r="2" spans="2:2" x14ac:dyDescent="0.3">
      <c r="B2" t="s">
        <v>13</v>
      </c>
    </row>
    <row r="3" spans="2:2" x14ac:dyDescent="0.3">
      <c r="B3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0CEB-C08E-4AE6-A5C8-750AABFBB7D5}">
  <dimension ref="B2:B3"/>
  <sheetViews>
    <sheetView workbookViewId="0">
      <selection activeCell="B4" sqref="B4"/>
    </sheetView>
  </sheetViews>
  <sheetFormatPr defaultRowHeight="16.5" x14ac:dyDescent="0.3"/>
  <cols>
    <col min="2" max="2" width="16.125" customWidth="1"/>
  </cols>
  <sheetData>
    <row r="2" spans="2:2" x14ac:dyDescent="0.3">
      <c r="B2" t="s">
        <v>9</v>
      </c>
    </row>
    <row r="3" spans="2:2" x14ac:dyDescent="0.3">
      <c r="B3" t="s">
        <v>10</v>
      </c>
    </row>
  </sheetData>
  <sheetProtection algorithmName="SHA-512" hashValue="RVIe98EuBOWn3wS/EdWgBfv/a2jMA2XFgLoHcOr/4ncDUvqUafnUhaQDzo44pTsm6k4RV2czMs1J8QK6NeNEsg==" saltValue="8NSgnV5dYRRpXvPyedKAQQ==" spinCount="100000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학생동아리 목록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2026-02-02T04:35:46Z</cp:lastPrinted>
  <dcterms:created xsi:type="dcterms:W3CDTF">2024-12-24T00:14:19Z</dcterms:created>
  <dcterms:modified xsi:type="dcterms:W3CDTF">2026-02-02T23:56:10Z</dcterms:modified>
</cp:coreProperties>
</file>