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3CFC4D1-8056-4442-9C03-B0C6356A1D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세부원가내역서(방과후학교,특기적성)" sheetId="4" r:id="rId1"/>
    <sheet name="원가계산서(방과후학교,특기적성)" sheetId="3" r:id="rId2"/>
    <sheet name="세부원가내역서(맞춤형)" sheetId="5" r:id="rId3"/>
    <sheet name="원가계산서(맞춤형)" sheetId="6" r:id="rId4"/>
    <sheet name="원가계산서(합산)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7" i="5" l="1"/>
  <c r="L18" i="5"/>
  <c r="L19" i="5"/>
  <c r="L16" i="5"/>
  <c r="B2" i="3" l="1"/>
  <c r="B2" i="6"/>
  <c r="F19" i="5" l="1"/>
  <c r="D19" i="5"/>
  <c r="F18" i="5"/>
  <c r="D18" i="5"/>
  <c r="F17" i="5"/>
  <c r="D17" i="5"/>
  <c r="F16" i="5"/>
  <c r="D16" i="5"/>
  <c r="G15" i="5"/>
  <c r="G19" i="5" s="1"/>
  <c r="E15" i="5"/>
  <c r="E17" i="5" l="1"/>
  <c r="I15" i="5"/>
  <c r="E18" i="5"/>
  <c r="E19" i="5"/>
  <c r="E16" i="5"/>
  <c r="G18" i="5"/>
  <c r="G16" i="5"/>
  <c r="G17" i="5"/>
  <c r="M18" i="5" l="1"/>
  <c r="K18" i="5"/>
  <c r="H18" i="5"/>
  <c r="I18" i="5" s="1"/>
  <c r="N18" i="5" s="1"/>
  <c r="O18" i="5" l="1"/>
  <c r="C20" i="5" l="1"/>
  <c r="H19" i="5" l="1"/>
  <c r="H17" i="5"/>
  <c r="H16" i="5"/>
  <c r="N15" i="5" l="1"/>
  <c r="I17" i="5"/>
  <c r="N17" i="5" s="1"/>
  <c r="I19" i="5"/>
  <c r="N19" i="5" s="1"/>
  <c r="O15" i="5" l="1"/>
  <c r="P15" i="5"/>
  <c r="Q15" i="5" s="1"/>
  <c r="O19" i="5"/>
  <c r="O17" i="5"/>
  <c r="I16" i="5"/>
  <c r="N16" i="5" s="1"/>
  <c r="D12" i="6"/>
  <c r="D11" i="6"/>
  <c r="R15" i="5" l="1"/>
  <c r="S15" i="5" s="1"/>
  <c r="O16" i="5"/>
  <c r="D7" i="6"/>
  <c r="D5" i="6"/>
  <c r="T15" i="5" l="1"/>
  <c r="D9" i="6"/>
  <c r="D6" i="7" l="1"/>
  <c r="D5" i="7"/>
  <c r="M19" i="5"/>
  <c r="K19" i="5"/>
  <c r="M17" i="5"/>
  <c r="K17" i="5"/>
  <c r="M16" i="5"/>
  <c r="K16" i="5"/>
  <c r="J16" i="5"/>
  <c r="M15" i="5"/>
  <c r="U15" i="5" s="1"/>
  <c r="J17" i="5" l="1"/>
  <c r="J18" i="5"/>
  <c r="P18" i="5" s="1"/>
  <c r="P16" i="5"/>
  <c r="J19" i="5"/>
  <c r="P19" i="5" s="1"/>
  <c r="P17" i="5"/>
  <c r="M20" i="5"/>
  <c r="E4" i="6" s="1"/>
  <c r="R16" i="5" l="1"/>
  <c r="S16" i="5" s="1"/>
  <c r="Q16" i="5"/>
  <c r="U16" i="5" s="1"/>
  <c r="Q18" i="5"/>
  <c r="R18" i="5"/>
  <c r="S18" i="5" s="1"/>
  <c r="U18" i="5" s="1"/>
  <c r="R17" i="5"/>
  <c r="S17" i="5" s="1"/>
  <c r="Q17" i="5"/>
  <c r="E5" i="6"/>
  <c r="F5" i="7" s="1"/>
  <c r="R19" i="5"/>
  <c r="S19" i="5" s="1"/>
  <c r="Q19" i="5"/>
  <c r="F4" i="7"/>
  <c r="E7" i="6"/>
  <c r="F6" i="7" s="1"/>
  <c r="O20" i="5"/>
  <c r="E10" i="6" s="1"/>
  <c r="T16" i="5" l="1"/>
  <c r="T18" i="5"/>
  <c r="U17" i="5"/>
  <c r="T17" i="5"/>
  <c r="T21" i="5" s="1"/>
  <c r="Q20" i="5"/>
  <c r="U19" i="5"/>
  <c r="T19" i="5"/>
  <c r="E11" i="6"/>
  <c r="F9" i="7" s="1"/>
  <c r="E9" i="6"/>
  <c r="F7" i="7" s="1"/>
  <c r="F8" i="7" s="1"/>
  <c r="S20" i="5"/>
  <c r="U20" i="5" l="1"/>
  <c r="E12" i="6"/>
  <c r="E13" i="6" s="1"/>
  <c r="F10" i="7" l="1"/>
  <c r="F11" i="7" s="1"/>
  <c r="E14" i="6"/>
  <c r="F8" i="4"/>
  <c r="F9" i="4"/>
  <c r="F10" i="4"/>
  <c r="F12" i="7" l="1"/>
  <c r="F6" i="4"/>
  <c r="F19" i="4" l="1"/>
  <c r="N19" i="4" s="1"/>
  <c r="I19" i="4"/>
  <c r="K19" i="4"/>
  <c r="F20" i="4"/>
  <c r="N20" i="4" s="1"/>
  <c r="I20" i="4"/>
  <c r="K20" i="4"/>
  <c r="F21" i="4"/>
  <c r="I21" i="4"/>
  <c r="K21" i="4"/>
  <c r="N21" i="4"/>
  <c r="O21" i="4" s="1"/>
  <c r="F22" i="4"/>
  <c r="N22" i="4" s="1"/>
  <c r="I22" i="4"/>
  <c r="K22" i="4"/>
  <c r="F23" i="4"/>
  <c r="I23" i="4"/>
  <c r="K23" i="4"/>
  <c r="N23" i="4"/>
  <c r="O23" i="4" s="1"/>
  <c r="Q23" i="4" s="1"/>
  <c r="S23" i="4" s="1"/>
  <c r="U23" i="4" s="1"/>
  <c r="F24" i="4"/>
  <c r="N24" i="4" s="1"/>
  <c r="I24" i="4"/>
  <c r="K24" i="4"/>
  <c r="F25" i="4"/>
  <c r="N25" i="4" s="1"/>
  <c r="I25" i="4"/>
  <c r="K25" i="4"/>
  <c r="F26" i="4"/>
  <c r="N26" i="4" s="1"/>
  <c r="O26" i="4" s="1"/>
  <c r="I26" i="4"/>
  <c r="K26" i="4"/>
  <c r="F27" i="4"/>
  <c r="I27" i="4"/>
  <c r="K27" i="4"/>
  <c r="N27" i="4"/>
  <c r="F28" i="4"/>
  <c r="N28" i="4" s="1"/>
  <c r="I28" i="4"/>
  <c r="K28" i="4"/>
  <c r="F29" i="4"/>
  <c r="N29" i="4" s="1"/>
  <c r="I29" i="4"/>
  <c r="K29" i="4"/>
  <c r="F30" i="4"/>
  <c r="N30" i="4" s="1"/>
  <c r="I30" i="4"/>
  <c r="K30" i="4"/>
  <c r="F31" i="4"/>
  <c r="N31" i="4" s="1"/>
  <c r="I31" i="4"/>
  <c r="K31" i="4"/>
  <c r="F32" i="4"/>
  <c r="N32" i="4" s="1"/>
  <c r="I32" i="4"/>
  <c r="K32" i="4"/>
  <c r="F33" i="4"/>
  <c r="N33" i="4" s="1"/>
  <c r="I33" i="4"/>
  <c r="K33" i="4"/>
  <c r="F34" i="4"/>
  <c r="I34" i="4"/>
  <c r="K34" i="4"/>
  <c r="N34" i="4"/>
  <c r="F35" i="4"/>
  <c r="I35" i="4"/>
  <c r="K35" i="4"/>
  <c r="N35" i="4"/>
  <c r="F36" i="4"/>
  <c r="N36" i="4" s="1"/>
  <c r="I36" i="4"/>
  <c r="K36" i="4"/>
  <c r="F37" i="4"/>
  <c r="N37" i="4" s="1"/>
  <c r="I37" i="4"/>
  <c r="K37" i="4"/>
  <c r="F38" i="4"/>
  <c r="N38" i="4" s="1"/>
  <c r="I38" i="4"/>
  <c r="K38" i="4"/>
  <c r="F39" i="4"/>
  <c r="I39" i="4"/>
  <c r="K39" i="4"/>
  <c r="N39" i="4"/>
  <c r="O39" i="4" s="1"/>
  <c r="F40" i="4"/>
  <c r="N40" i="4" s="1"/>
  <c r="I40" i="4"/>
  <c r="K40" i="4"/>
  <c r="F41" i="4"/>
  <c r="N41" i="4" s="1"/>
  <c r="I41" i="4"/>
  <c r="K41" i="4"/>
  <c r="F42" i="4"/>
  <c r="N42" i="4" s="1"/>
  <c r="I42" i="4"/>
  <c r="K42" i="4"/>
  <c r="F43" i="4"/>
  <c r="N43" i="4" s="1"/>
  <c r="I43" i="4"/>
  <c r="K43" i="4"/>
  <c r="F44" i="4"/>
  <c r="N44" i="4" s="1"/>
  <c r="I44" i="4"/>
  <c r="K44" i="4"/>
  <c r="N10" i="4"/>
  <c r="F11" i="4"/>
  <c r="N11" i="4" s="1"/>
  <c r="F12" i="4"/>
  <c r="N12" i="4" s="1"/>
  <c r="F13" i="4"/>
  <c r="N13" i="4" s="1"/>
  <c r="F14" i="4"/>
  <c r="N14" i="4" s="1"/>
  <c r="F15" i="4"/>
  <c r="N15" i="4" s="1"/>
  <c r="F16" i="4"/>
  <c r="N16" i="4" s="1"/>
  <c r="F17" i="4"/>
  <c r="N17" i="4" s="1"/>
  <c r="F18" i="4"/>
  <c r="N18" i="4" s="1"/>
  <c r="F45" i="4"/>
  <c r="N45" i="4" s="1"/>
  <c r="F46" i="4"/>
  <c r="N46" i="4" s="1"/>
  <c r="F47" i="4"/>
  <c r="F48" i="4"/>
  <c r="I10" i="4"/>
  <c r="I11" i="4"/>
  <c r="I12" i="4"/>
  <c r="I13" i="4"/>
  <c r="I14" i="4"/>
  <c r="I15" i="4"/>
  <c r="I16" i="4"/>
  <c r="I17" i="4"/>
  <c r="I18" i="4"/>
  <c r="I45" i="4"/>
  <c r="I46" i="4"/>
  <c r="K10" i="4"/>
  <c r="K11" i="4"/>
  <c r="K12" i="4"/>
  <c r="K13" i="4"/>
  <c r="K14" i="4"/>
  <c r="K15" i="4"/>
  <c r="K16" i="4"/>
  <c r="K17" i="4"/>
  <c r="K18" i="4"/>
  <c r="K45" i="4"/>
  <c r="K46" i="4"/>
  <c r="O31" i="4" l="1"/>
  <c r="Q26" i="4"/>
  <c r="P22" i="4"/>
  <c r="Q21" i="4"/>
  <c r="S21" i="4" s="1"/>
  <c r="U21" i="4" s="1"/>
  <c r="P20" i="4"/>
  <c r="R20" i="4" s="1"/>
  <c r="P19" i="4"/>
  <c r="R19" i="4" s="1"/>
  <c r="T19" i="4" s="1"/>
  <c r="R22" i="4"/>
  <c r="T22" i="4" s="1"/>
  <c r="V22" i="4" s="1"/>
  <c r="P23" i="4"/>
  <c r="R23" i="4" s="1"/>
  <c r="T23" i="4" s="1"/>
  <c r="P21" i="4"/>
  <c r="R21" i="4" s="1"/>
  <c r="T21" i="4" s="1"/>
  <c r="V21" i="4" s="1"/>
  <c r="V19" i="4"/>
  <c r="P34" i="4"/>
  <c r="R34" i="4" s="1"/>
  <c r="T34" i="4" s="1"/>
  <c r="V34" i="4" s="1"/>
  <c r="P26" i="4"/>
  <c r="R26" i="4" s="1"/>
  <c r="O34" i="4"/>
  <c r="Q34" i="4" s="1"/>
  <c r="O36" i="4"/>
  <c r="P36" i="4"/>
  <c r="R36" i="4" s="1"/>
  <c r="T36" i="4" s="1"/>
  <c r="O32" i="4"/>
  <c r="P32" i="4"/>
  <c r="R32" i="4" s="1"/>
  <c r="Q31" i="4"/>
  <c r="S31" i="4" s="1"/>
  <c r="U31" i="4" s="1"/>
  <c r="O25" i="4"/>
  <c r="P25" i="4"/>
  <c r="R25" i="4" s="1"/>
  <c r="T25" i="4" s="1"/>
  <c r="O29" i="4"/>
  <c r="P29" i="4"/>
  <c r="O38" i="4"/>
  <c r="P38" i="4"/>
  <c r="R38" i="4" s="1"/>
  <c r="O22" i="4"/>
  <c r="Q22" i="4" s="1"/>
  <c r="S22" i="4" s="1"/>
  <c r="U22" i="4" s="1"/>
  <c r="O40" i="4"/>
  <c r="P40" i="4"/>
  <c r="O24" i="4"/>
  <c r="P24" i="4"/>
  <c r="R24" i="4" s="1"/>
  <c r="O20" i="4"/>
  <c r="Q20" i="4" s="1"/>
  <c r="S20" i="4" s="1"/>
  <c r="Q39" i="4"/>
  <c r="S39" i="4" s="1"/>
  <c r="O33" i="4"/>
  <c r="P33" i="4"/>
  <c r="R33" i="4" s="1"/>
  <c r="T33" i="4" s="1"/>
  <c r="O28" i="4"/>
  <c r="P28" i="4"/>
  <c r="R28" i="4" s="1"/>
  <c r="T28" i="4" s="1"/>
  <c r="O41" i="4"/>
  <c r="P41" i="4"/>
  <c r="R41" i="4" s="1"/>
  <c r="P42" i="4"/>
  <c r="R42" i="4" s="1"/>
  <c r="O42" i="4"/>
  <c r="O37" i="4"/>
  <c r="P37" i="4"/>
  <c r="R37" i="4" s="1"/>
  <c r="O44" i="4"/>
  <c r="P44" i="4"/>
  <c r="O30" i="4"/>
  <c r="P30" i="4"/>
  <c r="R30" i="4" s="1"/>
  <c r="O19" i="4"/>
  <c r="P43" i="4"/>
  <c r="P35" i="4"/>
  <c r="P27" i="4"/>
  <c r="O43" i="4"/>
  <c r="O35" i="4"/>
  <c r="O27" i="4"/>
  <c r="S26" i="4"/>
  <c r="U26" i="4" s="1"/>
  <c r="P39" i="4"/>
  <c r="P31" i="4"/>
  <c r="P18" i="4"/>
  <c r="R18" i="4" s="1"/>
  <c r="T18" i="4" s="1"/>
  <c r="O18" i="4"/>
  <c r="Q18" i="4" s="1"/>
  <c r="S18" i="4" s="1"/>
  <c r="P13" i="4"/>
  <c r="R13" i="4" s="1"/>
  <c r="T13" i="4" s="1"/>
  <c r="V13" i="4" s="1"/>
  <c r="O13" i="4"/>
  <c r="Q13" i="4" s="1"/>
  <c r="P10" i="4"/>
  <c r="R10" i="4" s="1"/>
  <c r="O10" i="4"/>
  <c r="Q10" i="4" s="1"/>
  <c r="O15" i="4"/>
  <c r="P15" i="4"/>
  <c r="O12" i="4"/>
  <c r="Q12" i="4" s="1"/>
  <c r="S12" i="4" s="1"/>
  <c r="P12" i="4"/>
  <c r="R12" i="4" s="1"/>
  <c r="T12" i="4" s="1"/>
  <c r="V12" i="4" s="1"/>
  <c r="P17" i="4"/>
  <c r="R17" i="4" s="1"/>
  <c r="O17" i="4"/>
  <c r="Q17" i="4" s="1"/>
  <c r="P16" i="4"/>
  <c r="O16" i="4"/>
  <c r="P14" i="4"/>
  <c r="R14" i="4" s="1"/>
  <c r="O14" i="4"/>
  <c r="Q14" i="4" s="1"/>
  <c r="O46" i="4"/>
  <c r="Q46" i="4" s="1"/>
  <c r="S46" i="4" s="1"/>
  <c r="P46" i="4"/>
  <c r="P45" i="4"/>
  <c r="R45" i="4" s="1"/>
  <c r="O45" i="4"/>
  <c r="O11" i="4"/>
  <c r="P11" i="4"/>
  <c r="R11" i="4" s="1"/>
  <c r="S34" i="4" l="1"/>
  <c r="U34" i="4" s="1"/>
  <c r="T20" i="4"/>
  <c r="V20" i="4"/>
  <c r="Q19" i="4"/>
  <c r="S19" i="4" s="1"/>
  <c r="U19" i="4" s="1"/>
  <c r="V23" i="4"/>
  <c r="U20" i="4"/>
  <c r="V28" i="4"/>
  <c r="T38" i="4"/>
  <c r="V38" i="4" s="1"/>
  <c r="W23" i="4"/>
  <c r="T42" i="4"/>
  <c r="V42" i="4" s="1"/>
  <c r="R40" i="4"/>
  <c r="W31" i="4"/>
  <c r="V33" i="4"/>
  <c r="T30" i="4"/>
  <c r="V30" i="4" s="1"/>
  <c r="W34" i="4"/>
  <c r="R29" i="4"/>
  <c r="T29" i="4" s="1"/>
  <c r="S13" i="4"/>
  <c r="U13" i="4" s="1"/>
  <c r="W13" i="4" s="1"/>
  <c r="R39" i="4"/>
  <c r="T39" i="4" s="1"/>
  <c r="T32" i="4"/>
  <c r="V32" i="4" s="1"/>
  <c r="V25" i="4"/>
  <c r="V36" i="4"/>
  <c r="R35" i="4"/>
  <c r="T35" i="4" s="1"/>
  <c r="Q37" i="4"/>
  <c r="S37" i="4" s="1"/>
  <c r="U37" i="4" s="1"/>
  <c r="Q24" i="4"/>
  <c r="Q35" i="4"/>
  <c r="S35" i="4" s="1"/>
  <c r="Q38" i="4"/>
  <c r="S38" i="4" s="1"/>
  <c r="R31" i="4"/>
  <c r="T31" i="4" s="1"/>
  <c r="V31" i="4" s="1"/>
  <c r="Q43" i="4"/>
  <c r="S43" i="4" s="1"/>
  <c r="R43" i="4"/>
  <c r="T43" i="4" s="1"/>
  <c r="V43" i="4" s="1"/>
  <c r="R44" i="4"/>
  <c r="T44" i="4" s="1"/>
  <c r="T37" i="4"/>
  <c r="V37" i="4" s="1"/>
  <c r="T41" i="4"/>
  <c r="V41" i="4" s="1"/>
  <c r="T24" i="4"/>
  <c r="V24" i="4" s="1"/>
  <c r="Q33" i="4"/>
  <c r="S33" i="4" s="1"/>
  <c r="W26" i="4"/>
  <c r="Q44" i="4"/>
  <c r="S44" i="4" s="1"/>
  <c r="Q41" i="4"/>
  <c r="Q27" i="4"/>
  <c r="S27" i="4" s="1"/>
  <c r="U27" i="4" s="1"/>
  <c r="W21" i="4"/>
  <c r="R27" i="4"/>
  <c r="T27" i="4" s="1"/>
  <c r="Q30" i="4"/>
  <c r="S30" i="4" s="1"/>
  <c r="Q42" i="4"/>
  <c r="S42" i="4" s="1"/>
  <c r="U39" i="4"/>
  <c r="W39" i="4" s="1"/>
  <c r="Q40" i="4"/>
  <c r="S40" i="4" s="1"/>
  <c r="Q29" i="4"/>
  <c r="Q25" i="4"/>
  <c r="S25" i="4"/>
  <c r="Q32" i="4"/>
  <c r="S32" i="4" s="1"/>
  <c r="U32" i="4" s="1"/>
  <c r="Q36" i="4"/>
  <c r="T26" i="4"/>
  <c r="V26" i="4" s="1"/>
  <c r="Q28" i="4"/>
  <c r="S28" i="4" s="1"/>
  <c r="U46" i="4"/>
  <c r="W46" i="4" s="1"/>
  <c r="U12" i="4"/>
  <c r="W12" i="4" s="1"/>
  <c r="S10" i="4"/>
  <c r="U10" i="4" s="1"/>
  <c r="W10" i="4" s="1"/>
  <c r="S14" i="4"/>
  <c r="U14" i="4" s="1"/>
  <c r="Q15" i="4"/>
  <c r="S15" i="4" s="1"/>
  <c r="U15" i="4" s="1"/>
  <c r="R46" i="4"/>
  <c r="T46" i="4" s="1"/>
  <c r="V46" i="4" s="1"/>
  <c r="R16" i="4"/>
  <c r="T11" i="4"/>
  <c r="V11" i="4" s="1"/>
  <c r="T45" i="4"/>
  <c r="V45" i="4" s="1"/>
  <c r="S17" i="4"/>
  <c r="U17" i="4" s="1"/>
  <c r="W17" i="4" s="1"/>
  <c r="V18" i="4"/>
  <c r="Q11" i="4"/>
  <c r="S11" i="4" s="1"/>
  <c r="Q45" i="4"/>
  <c r="S45" i="4" s="1"/>
  <c r="U45" i="4" s="1"/>
  <c r="Q16" i="4"/>
  <c r="R15" i="4"/>
  <c r="U18" i="4"/>
  <c r="W18" i="4" s="1"/>
  <c r="T10" i="4"/>
  <c r="V10" i="4" s="1"/>
  <c r="T17" i="4"/>
  <c r="V17" i="4" s="1"/>
  <c r="T14" i="4"/>
  <c r="V14" i="4" s="1"/>
  <c r="F51" i="4"/>
  <c r="F54" i="4"/>
  <c r="F55" i="4"/>
  <c r="S29" i="4" l="1"/>
  <c r="V29" i="4"/>
  <c r="T40" i="4"/>
  <c r="V40" i="4" s="1"/>
  <c r="U33" i="4"/>
  <c r="W33" i="4" s="1"/>
  <c r="U35" i="4"/>
  <c r="W35" i="4" s="1"/>
  <c r="U25" i="4"/>
  <c r="W25" i="4" s="1"/>
  <c r="S24" i="4"/>
  <c r="U24" i="4" s="1"/>
  <c r="W24" i="4" s="1"/>
  <c r="U38" i="4"/>
  <c r="W38" i="4" s="1"/>
  <c r="V39" i="4"/>
  <c r="W37" i="4"/>
  <c r="U40" i="4"/>
  <c r="W40" i="4" s="1"/>
  <c r="W19" i="4"/>
  <c r="U42" i="4"/>
  <c r="W42" i="4" s="1"/>
  <c r="U30" i="4"/>
  <c r="W30" i="4" s="1"/>
  <c r="W32" i="4"/>
  <c r="V27" i="4"/>
  <c r="U28" i="4"/>
  <c r="W28" i="4" s="1"/>
  <c r="U44" i="4"/>
  <c r="W44" i="4" s="1"/>
  <c r="V44" i="4"/>
  <c r="S36" i="4"/>
  <c r="U36" i="4" s="1"/>
  <c r="U43" i="4"/>
  <c r="W43" i="4" s="1"/>
  <c r="W27" i="4"/>
  <c r="S41" i="4"/>
  <c r="U41" i="4" s="1"/>
  <c r="V35" i="4"/>
  <c r="W14" i="4"/>
  <c r="W15" i="4"/>
  <c r="U11" i="4"/>
  <c r="W11" i="4"/>
  <c r="T15" i="4"/>
  <c r="V15" i="4" s="1"/>
  <c r="T16" i="4"/>
  <c r="V16" i="4" s="1"/>
  <c r="S16" i="4"/>
  <c r="U16" i="4" s="1"/>
  <c r="W16" i="4" s="1"/>
  <c r="W45" i="4"/>
  <c r="F65" i="4"/>
  <c r="F7" i="4"/>
  <c r="F49" i="4"/>
  <c r="F50" i="4"/>
  <c r="F52" i="4"/>
  <c r="F53" i="4"/>
  <c r="F56" i="4"/>
  <c r="F57" i="4"/>
  <c r="F58" i="4"/>
  <c r="F59" i="4"/>
  <c r="F60" i="4"/>
  <c r="F61" i="4"/>
  <c r="F62" i="4"/>
  <c r="F63" i="4"/>
  <c r="F64" i="4"/>
  <c r="N6" i="4"/>
  <c r="U29" i="4" l="1"/>
  <c r="W29" i="4" s="1"/>
  <c r="W20" i="4"/>
  <c r="W36" i="4"/>
  <c r="W22" i="4"/>
  <c r="W41" i="4"/>
  <c r="N52" i="4"/>
  <c r="I52" i="4"/>
  <c r="K52" i="4"/>
  <c r="P52" i="4" l="1"/>
  <c r="R52" i="4" s="1"/>
  <c r="T52" i="4" s="1"/>
  <c r="V52" i="4" s="1"/>
  <c r="O52" i="4"/>
  <c r="I6" i="4"/>
  <c r="I7" i="4"/>
  <c r="I8" i="4"/>
  <c r="I9" i="4"/>
  <c r="I47" i="4"/>
  <c r="I48" i="4"/>
  <c r="I49" i="4"/>
  <c r="I50" i="4"/>
  <c r="I51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 l="1"/>
  <c r="Q52" i="4"/>
  <c r="S52" i="4" s="1"/>
  <c r="O6" i="4"/>
  <c r="N8" i="4"/>
  <c r="O8" i="4" s="1"/>
  <c r="K8" i="4"/>
  <c r="N9" i="4"/>
  <c r="O9" i="4" s="1"/>
  <c r="K9" i="4"/>
  <c r="N47" i="4"/>
  <c r="O47" i="4" s="1"/>
  <c r="K47" i="4"/>
  <c r="N48" i="4"/>
  <c r="O48" i="4" s="1"/>
  <c r="K48" i="4"/>
  <c r="N49" i="4"/>
  <c r="O49" i="4" s="1"/>
  <c r="K49" i="4"/>
  <c r="N50" i="4"/>
  <c r="O50" i="4" s="1"/>
  <c r="K50" i="4"/>
  <c r="N51" i="4"/>
  <c r="O51" i="4" s="1"/>
  <c r="K51" i="4"/>
  <c r="N53" i="4"/>
  <c r="O53" i="4" s="1"/>
  <c r="K53" i="4"/>
  <c r="N54" i="4"/>
  <c r="O54" i="4" s="1"/>
  <c r="K54" i="4"/>
  <c r="N55" i="4"/>
  <c r="O55" i="4" s="1"/>
  <c r="K55" i="4"/>
  <c r="N56" i="4"/>
  <c r="O56" i="4" s="1"/>
  <c r="K56" i="4"/>
  <c r="N57" i="4"/>
  <c r="O57" i="4" s="1"/>
  <c r="K57" i="4"/>
  <c r="N58" i="4"/>
  <c r="O58" i="4" s="1"/>
  <c r="K58" i="4"/>
  <c r="N59" i="4"/>
  <c r="O59" i="4" s="1"/>
  <c r="K59" i="4"/>
  <c r="N60" i="4"/>
  <c r="O60" i="4" s="1"/>
  <c r="K60" i="4"/>
  <c r="N61" i="4"/>
  <c r="O61" i="4" s="1"/>
  <c r="K61" i="4"/>
  <c r="N62" i="4"/>
  <c r="O62" i="4" s="1"/>
  <c r="K62" i="4"/>
  <c r="N63" i="4"/>
  <c r="O63" i="4" s="1"/>
  <c r="K63" i="4"/>
  <c r="N64" i="4"/>
  <c r="O64" i="4" s="1"/>
  <c r="K64" i="4"/>
  <c r="N65" i="4"/>
  <c r="O65" i="4" s="1"/>
  <c r="K65" i="4"/>
  <c r="N7" i="4"/>
  <c r="O7" i="4" s="1"/>
  <c r="K6" i="4"/>
  <c r="K7" i="4"/>
  <c r="U52" i="4" l="1"/>
  <c r="W52" i="4" s="1"/>
  <c r="P6" i="4"/>
  <c r="Q53" i="4"/>
  <c r="S53" i="4" s="1"/>
  <c r="U53" i="4" s="1"/>
  <c r="Q62" i="4"/>
  <c r="S62" i="4" s="1"/>
  <c r="U62" i="4" s="1"/>
  <c r="Q51" i="4"/>
  <c r="Q65" i="4"/>
  <c r="S65" i="4" s="1"/>
  <c r="Q57" i="4"/>
  <c r="S57" i="4" s="1"/>
  <c r="U57" i="4" s="1"/>
  <c r="Q48" i="4"/>
  <c r="S48" i="4" s="1"/>
  <c r="U48" i="4" s="1"/>
  <c r="Q8" i="4"/>
  <c r="S8" i="4" s="1"/>
  <c r="Q61" i="4"/>
  <c r="S61" i="4" s="1"/>
  <c r="U61" i="4" s="1"/>
  <c r="Q60" i="4"/>
  <c r="S60" i="4" s="1"/>
  <c r="U60" i="4" s="1"/>
  <c r="Q59" i="4"/>
  <c r="S59" i="4" s="1"/>
  <c r="U59" i="4" s="1"/>
  <c r="Q58" i="4"/>
  <c r="S58" i="4" s="1"/>
  <c r="Q56" i="4"/>
  <c r="S56" i="4" s="1"/>
  <c r="Q47" i="4"/>
  <c r="S47" i="4" s="1"/>
  <c r="Q54" i="4"/>
  <c r="S54" i="4" s="1"/>
  <c r="U54" i="4" s="1"/>
  <c r="Q7" i="4"/>
  <c r="S7" i="4" s="1"/>
  <c r="Q50" i="4"/>
  <c r="S50" i="4" s="1"/>
  <c r="Q49" i="4"/>
  <c r="S49" i="4" s="1"/>
  <c r="Q64" i="4"/>
  <c r="S64" i="4" s="1"/>
  <c r="Q63" i="4"/>
  <c r="S63" i="4" s="1"/>
  <c r="U63" i="4" s="1"/>
  <c r="Q55" i="4"/>
  <c r="S55" i="4" s="1"/>
  <c r="Q9" i="4"/>
  <c r="S9" i="4" s="1"/>
  <c r="P65" i="4"/>
  <c r="R65" i="4" s="1"/>
  <c r="P64" i="4"/>
  <c r="R64" i="4" s="1"/>
  <c r="P63" i="4"/>
  <c r="R63" i="4" s="1"/>
  <c r="P62" i="4"/>
  <c r="R62" i="4" s="1"/>
  <c r="T62" i="4" s="1"/>
  <c r="P61" i="4"/>
  <c r="R61" i="4" s="1"/>
  <c r="T61" i="4" s="1"/>
  <c r="P60" i="4"/>
  <c r="R60" i="4" s="1"/>
  <c r="P59" i="4"/>
  <c r="R59" i="4" s="1"/>
  <c r="P58" i="4"/>
  <c r="R58" i="4" s="1"/>
  <c r="P57" i="4"/>
  <c r="R57" i="4" s="1"/>
  <c r="P56" i="4"/>
  <c r="R56" i="4" s="1"/>
  <c r="P55" i="4"/>
  <c r="R55" i="4" s="1"/>
  <c r="P54" i="4"/>
  <c r="P53" i="4"/>
  <c r="P51" i="4"/>
  <c r="P50" i="4"/>
  <c r="R50" i="4" s="1"/>
  <c r="P49" i="4"/>
  <c r="R49" i="4" s="1"/>
  <c r="P48" i="4"/>
  <c r="R48" i="4" s="1"/>
  <c r="P47" i="4"/>
  <c r="R47" i="4" s="1"/>
  <c r="P9" i="4"/>
  <c r="P8" i="4"/>
  <c r="P7" i="4"/>
  <c r="R9" i="4" l="1"/>
  <c r="T9" i="4" s="1"/>
  <c r="V9" i="4" s="1"/>
  <c r="S51" i="4"/>
  <c r="U51" i="4" s="1"/>
  <c r="U49" i="4"/>
  <c r="T65" i="4"/>
  <c r="U64" i="4"/>
  <c r="W64" i="4" s="1"/>
  <c r="U50" i="4"/>
  <c r="W50" i="4" s="1"/>
  <c r="U58" i="4"/>
  <c r="W58" i="4" s="1"/>
  <c r="U8" i="4"/>
  <c r="W8" i="4" s="1"/>
  <c r="W48" i="4"/>
  <c r="R6" i="4"/>
  <c r="T6" i="4" s="1"/>
  <c r="T63" i="4"/>
  <c r="V63" i="4" s="1"/>
  <c r="Q6" i="4"/>
  <c r="Q66" i="4" s="1"/>
  <c r="E10" i="3" s="1"/>
  <c r="O66" i="4"/>
  <c r="T64" i="4"/>
  <c r="V64" i="4" s="1"/>
  <c r="U7" i="4"/>
  <c r="W7" i="4" s="1"/>
  <c r="U9" i="4"/>
  <c r="W9" i="4" s="1"/>
  <c r="T55" i="4"/>
  <c r="V55" i="4" s="1"/>
  <c r="T60" i="4"/>
  <c r="V60" i="4" s="1"/>
  <c r="U55" i="4"/>
  <c r="W55" i="4" s="1"/>
  <c r="U47" i="4"/>
  <c r="W47" i="4" s="1"/>
  <c r="T50" i="4"/>
  <c r="V50" i="4" s="1"/>
  <c r="T56" i="4"/>
  <c r="V56" i="4" s="1"/>
  <c r="R51" i="4"/>
  <c r="T51" i="4" s="1"/>
  <c r="T47" i="4"/>
  <c r="V47" i="4" s="1"/>
  <c r="T48" i="4"/>
  <c r="V48" i="4" s="1"/>
  <c r="T57" i="4"/>
  <c r="V57" i="4" s="1"/>
  <c r="R7" i="4"/>
  <c r="T7" i="4" s="1"/>
  <c r="V7" i="4" s="1"/>
  <c r="R53" i="4"/>
  <c r="T53" i="4" s="1"/>
  <c r="U56" i="4"/>
  <c r="W56" i="4" s="1"/>
  <c r="U65" i="4"/>
  <c r="T49" i="4"/>
  <c r="V49" i="4" s="1"/>
  <c r="T58" i="4"/>
  <c r="R8" i="4"/>
  <c r="R54" i="4"/>
  <c r="T54" i="4" s="1"/>
  <c r="T59" i="4"/>
  <c r="V59" i="4" s="1"/>
  <c r="W54" i="4"/>
  <c r="W59" i="4"/>
  <c r="W62" i="4"/>
  <c r="W60" i="4"/>
  <c r="W53" i="4"/>
  <c r="V62" i="4"/>
  <c r="W57" i="4"/>
  <c r="W63" i="4"/>
  <c r="W49" i="4"/>
  <c r="V61" i="4"/>
  <c r="E4" i="3" l="1"/>
  <c r="W51" i="4"/>
  <c r="V6" i="4"/>
  <c r="S6" i="4"/>
  <c r="S66" i="4" s="1"/>
  <c r="T8" i="4"/>
  <c r="V8" i="4" s="1"/>
  <c r="V51" i="4"/>
  <c r="V53" i="4"/>
  <c r="W61" i="4"/>
  <c r="V54" i="4"/>
  <c r="V58" i="4"/>
  <c r="W65" i="4"/>
  <c r="V65" i="4"/>
  <c r="E5" i="3" l="1"/>
  <c r="E5" i="7" s="1"/>
  <c r="E7" i="3"/>
  <c r="E6" i="7" s="1"/>
  <c r="G6" i="7" s="1"/>
  <c r="E4" i="7"/>
  <c r="E11" i="3"/>
  <c r="E12" i="3" s="1"/>
  <c r="U6" i="4"/>
  <c r="W6" i="4" s="1"/>
  <c r="W66" i="4" s="1"/>
  <c r="E9" i="7" l="1"/>
  <c r="G9" i="7" s="1"/>
  <c r="E9" i="3"/>
  <c r="G5" i="7"/>
  <c r="G4" i="7"/>
  <c r="U66" i="4"/>
  <c r="E7" i="7" l="1"/>
  <c r="E8" i="7" s="1"/>
  <c r="E10" i="7"/>
  <c r="E13" i="3"/>
  <c r="F10" i="3" s="1"/>
  <c r="E14" i="3"/>
  <c r="E11" i="7" l="1"/>
  <c r="G7" i="7"/>
  <c r="G8" i="7" s="1"/>
  <c r="G10" i="7"/>
  <c r="E12" i="7"/>
  <c r="F4" i="3"/>
  <c r="F12" i="3"/>
  <c r="F11" i="3"/>
  <c r="G12" i="7" l="1"/>
  <c r="G11" i="7"/>
</calcChain>
</file>

<file path=xl/sharedStrings.xml><?xml version="1.0" encoding="utf-8"?>
<sst xmlns="http://schemas.openxmlformats.org/spreadsheetml/2006/main" count="174" uniqueCount="93">
  <si>
    <t>연번</t>
    <phoneticPr fontId="2" type="noConversion"/>
  </si>
  <si>
    <t>원가산출내역</t>
    <phoneticPr fontId="2" type="noConversion"/>
  </si>
  <si>
    <t>1.인건비</t>
    <phoneticPr fontId="2" type="noConversion"/>
  </si>
  <si>
    <t>2.경비</t>
    <phoneticPr fontId="2" type="noConversion"/>
  </si>
  <si>
    <t>3.일반관리비</t>
    <phoneticPr fontId="2" type="noConversion"/>
  </si>
  <si>
    <t>4.이윤</t>
    <phoneticPr fontId="2" type="noConversion"/>
  </si>
  <si>
    <t>운영
개월수</t>
    <phoneticPr fontId="2" type="noConversion"/>
  </si>
  <si>
    <t>단가</t>
    <phoneticPr fontId="2" type="noConversion"/>
  </si>
  <si>
    <t>산출액</t>
    <phoneticPr fontId="2" type="noConversion"/>
  </si>
  <si>
    <t>월별수강
예정인원</t>
    <phoneticPr fontId="2" type="noConversion"/>
  </si>
  <si>
    <t>비고</t>
    <phoneticPr fontId="2" type="noConversion"/>
  </si>
  <si>
    <t>인건비</t>
    <phoneticPr fontId="2" type="noConversion"/>
  </si>
  <si>
    <t>일반관리비</t>
    <phoneticPr fontId="2" type="noConversion"/>
  </si>
  <si>
    <t>1,000원 미만 절사</t>
    <phoneticPr fontId="2" type="noConversion"/>
  </si>
  <si>
    <t>비목</t>
    <phoneticPr fontId="2" type="noConversion"/>
  </si>
  <si>
    <t>금액</t>
    <phoneticPr fontId="2" type="noConversion"/>
  </si>
  <si>
    <t>이윤</t>
    <phoneticPr fontId="2" type="noConversion"/>
  </si>
  <si>
    <t>산출내역</t>
    <phoneticPr fontId="2" type="noConversion"/>
  </si>
  <si>
    <t>×</t>
    <phoneticPr fontId="2" type="noConversion"/>
  </si>
  <si>
    <t>(인건비+경비)</t>
    <phoneticPr fontId="2" type="noConversion"/>
  </si>
  <si>
    <t>(인건비+경비+일반관리비)</t>
    <phoneticPr fontId="2" type="noConversion"/>
  </si>
  <si>
    <t>강사단가</t>
    <phoneticPr fontId="2" type="noConversion"/>
  </si>
  <si>
    <t>기초금액</t>
    <phoneticPr fontId="2" type="noConversion"/>
  </si>
  <si>
    <t>연간수강
예정인원</t>
    <phoneticPr fontId="2" type="noConversion"/>
  </si>
  <si>
    <t>합계</t>
    <phoneticPr fontId="2" type="noConversion"/>
  </si>
  <si>
    <t>과목명</t>
    <phoneticPr fontId="2" type="noConversion"/>
  </si>
  <si>
    <t>방과후학교 원가계산서 과목별 인건비 합계액</t>
    <phoneticPr fontId="2" type="noConversion"/>
  </si>
  <si>
    <t>기타경비</t>
    <phoneticPr fontId="2" type="noConversion"/>
  </si>
  <si>
    <t>입찰건명</t>
    <phoneticPr fontId="2" type="noConversion"/>
  </si>
  <si>
    <t>경비</t>
    <phoneticPr fontId="2" type="noConversion"/>
  </si>
  <si>
    <t>인상율</t>
  </si>
  <si>
    <t>금년도
강사료원가
적용단가</t>
    <phoneticPr fontId="2" type="noConversion"/>
  </si>
  <si>
    <t>강사료원가 산출 기초자료</t>
    <phoneticPr fontId="2" type="noConversion"/>
  </si>
  <si>
    <t>강사료원가 조정</t>
    <phoneticPr fontId="2" type="noConversion"/>
  </si>
  <si>
    <t>인건비
지급율
(%)</t>
  </si>
  <si>
    <t>이윤
반영
비율
(%)</t>
  </si>
  <si>
    <t>경비
반영
비율
(%)</t>
    <phoneticPr fontId="2" type="noConversion"/>
  </si>
  <si>
    <t>일반
관리비
반영
비율(%)</t>
    <phoneticPr fontId="2" type="noConversion"/>
  </si>
  <si>
    <t>금액조정</t>
    <phoneticPr fontId="2" type="noConversion"/>
  </si>
  <si>
    <t>수강예정인원합계</t>
    <phoneticPr fontId="2" type="noConversion"/>
  </si>
  <si>
    <r>
      <t>계</t>
    </r>
    <r>
      <rPr>
        <b/>
        <sz val="11"/>
        <color rgb="FFFF0000"/>
        <rFont val="맑은 고딕"/>
        <family val="3"/>
        <charset val="129"/>
        <scheme val="minor"/>
      </rPr>
      <t>*최종 단가 확인 필수</t>
    </r>
    <phoneticPr fontId="2" type="noConversion"/>
  </si>
  <si>
    <t>전년도 
강사료원가
적용단가
(원가산정시 적용금액으로 계약 강사료가 아님)</t>
    <phoneticPr fontId="2" type="noConversion"/>
  </si>
  <si>
    <t>방과후학교 강사료 원가 산출액</t>
    <phoneticPr fontId="2" type="noConversion"/>
  </si>
  <si>
    <t xml:space="preserve">○ 고용보험료율: 1.6%
○ 부담 
  - 사업주: 0.8%
  - 노무제공자: 0.8% </t>
    <phoneticPr fontId="2" type="noConversion"/>
  </si>
  <si>
    <t xml:space="preserve">○ 산재보험료율: 0.66%
  - 직종별요율: 6/1000
  - 출퇴근재해요율: 0.6/1000
○ 부담
  - 사업주 033%
  - 노무제공자: 0.33% </t>
    <phoneticPr fontId="2" type="noConversion"/>
  </si>
  <si>
    <t>원가산정 기초자료</t>
    <phoneticPr fontId="2" type="noConversion"/>
  </si>
  <si>
    <t>연간
강의시간</t>
    <phoneticPr fontId="2" type="noConversion"/>
  </si>
  <si>
    <t>경비 반영 비율</t>
    <phoneticPr fontId="2" type="noConversion"/>
  </si>
  <si>
    <t>계</t>
    <phoneticPr fontId="2" type="noConversion"/>
  </si>
  <si>
    <t>계약건명</t>
    <phoneticPr fontId="2" type="noConversion"/>
  </si>
  <si>
    <t xml:space="preserve"> 기타경비</t>
    <phoneticPr fontId="2" type="noConversion"/>
  </si>
  <si>
    <t>강사료 원가 산출액</t>
    <phoneticPr fontId="2" type="noConversion"/>
  </si>
  <si>
    <t>1,000원 
미만 절사</t>
    <phoneticPr fontId="2" type="noConversion"/>
  </si>
  <si>
    <t>강사료
인건비 
단가</t>
    <phoneticPr fontId="2" type="noConversion"/>
  </si>
  <si>
    <t>시간당 
단가</t>
    <phoneticPr fontId="2" type="noConversion"/>
  </si>
  <si>
    <t>고시
요율</t>
    <phoneticPr fontId="2" type="noConversion"/>
  </si>
  <si>
    <t>반영
요율</t>
    <phoneticPr fontId="2" type="noConversion"/>
  </si>
  <si>
    <t>강사료원가(계약금액)</t>
    <phoneticPr fontId="2" type="noConversion"/>
  </si>
  <si>
    <t>필요경비공제율</t>
    <phoneticPr fontId="2" type="noConversion"/>
  </si>
  <si>
    <t>○ 고용보험료 산정: 월보수액×고용보험료율
○ 월보수액 산정: (사업소득-비과세소득)-경비
  - 경비: (사업소득-비과세소득)×필요경비공제율</t>
    <phoneticPr fontId="2" type="noConversion"/>
  </si>
  <si>
    <t>○ 산재보험료 산정: 월보수액×산재보험료율
○ 월보수액 산정: (사업소득-비과세소득)-경비
  - 경비: (사업소득-비과세소득)×필요경비공제율</t>
    <phoneticPr fontId="2" type="noConversion"/>
  </si>
  <si>
    <t>경비 합계</t>
    <phoneticPr fontId="2" type="noConversion"/>
  </si>
  <si>
    <t>별도요율</t>
    <phoneticPr fontId="2" type="noConversion"/>
  </si>
  <si>
    <t>산업재해
보상보험
요율(%)
(A)</t>
    <phoneticPr fontId="2" type="noConversion"/>
  </si>
  <si>
    <t>고용보험
요율(%)
(B)</t>
    <phoneticPr fontId="2" type="noConversion"/>
  </si>
  <si>
    <t>필요경비
제외율</t>
    <phoneticPr fontId="2" type="noConversion"/>
  </si>
  <si>
    <t>경비율
(%)
D=A+B+C</t>
    <phoneticPr fontId="2" type="noConversion"/>
  </si>
  <si>
    <t>기타
경비율(%)
(C )</t>
    <phoneticPr fontId="2" type="noConversion"/>
  </si>
  <si>
    <t>일반
관리비
반영
비율
(%)</t>
    <phoneticPr fontId="2" type="noConversion"/>
  </si>
  <si>
    <t xml:space="preserve">세부 원가 내역서 </t>
    <phoneticPr fontId="2" type="noConversion"/>
  </si>
  <si>
    <t xml:space="preserve"> 세부 원가내역서</t>
    <phoneticPr fontId="2" type="noConversion"/>
  </si>
  <si>
    <t xml:space="preserve"> ○ 원가내역서 작성기준(노란색 부분만 수정)  </t>
  </si>
  <si>
    <t xml:space="preserve">  - 산업재해보상보험요율, 고용보험요율의 반영요율: 고시이율에서 필요경비 공제율을 반영한 요율,  산재, 고용보험의 고시이율은 법정경비로 학교에서 임의로 변경할 수 없으며, 발주 전 고시를 확인하여 원가 계산</t>
  </si>
  <si>
    <t xml:space="preserve">  - 경비율: 경비요율(산업재해보상보험요율(반영요율), 고용보험요율(반영요율), 기타경비율의 합계)는 학교장이 책정(기타경비율 조정)</t>
  </si>
  <si>
    <t xml:space="preserve">    ※ 경비율을 책정했는데 산재, 고용보험의 고시이율이 상향되는 경우 기타경비율을 감하여 조정 </t>
  </si>
  <si>
    <t xml:space="preserve">  - 일반관리비율: 특별한 사유가 없는 한 6% 반영</t>
  </si>
  <si>
    <t xml:space="preserve">  - 이윤율: 특별한 사유가 없는 한 10% 반영</t>
  </si>
  <si>
    <t>원  가  계  산  서</t>
    <phoneticPr fontId="2" type="noConversion"/>
  </si>
  <si>
    <t>세부 원가내역서 개별 강좌 인건비 합계액</t>
    <phoneticPr fontId="2" type="noConversion"/>
  </si>
  <si>
    <t>합계(세부 원가내역서 개별 강좌 경비 합계)</t>
    <phoneticPr fontId="2" type="noConversion"/>
  </si>
  <si>
    <t>세부원가내역서 개별 강좌 인건비 합계액</t>
    <phoneticPr fontId="2" type="noConversion"/>
  </si>
  <si>
    <r>
      <t xml:space="preserve"> [산업재해보상보험료] 
 사업주부담금 
</t>
    </r>
    <r>
      <rPr>
        <sz val="9"/>
        <color theme="1"/>
        <rFont val="맑은 고딕"/>
        <family val="3"/>
        <charset val="129"/>
        <scheme val="minor"/>
      </rPr>
      <t xml:space="preserve"> (인건비-인건비*필요경비공제율)</t>
    </r>
    <phoneticPr fontId="2" type="noConversion"/>
  </si>
  <si>
    <r>
      <t xml:space="preserve"> [고용보험료] 
 사업주부담금   
</t>
    </r>
    <r>
      <rPr>
        <sz val="9"/>
        <color theme="1"/>
        <rFont val="맑은 고딕"/>
        <family val="3"/>
        <charset val="129"/>
        <scheme val="minor"/>
      </rPr>
      <t xml:space="preserve"> (인건비-인건비*필요경비공제율)  </t>
    </r>
    <r>
      <rPr>
        <sz val="11"/>
        <color theme="1"/>
        <rFont val="맑은 고딕"/>
        <family val="3"/>
        <charset val="129"/>
        <scheme val="minor"/>
      </rPr>
      <t xml:space="preserve">           </t>
    </r>
    <phoneticPr fontId="2" type="noConversion"/>
  </si>
  <si>
    <r>
      <t xml:space="preserve"> [고용보험료] 
 사업주부담금   
 </t>
    </r>
    <r>
      <rPr>
        <sz val="9"/>
        <color theme="1"/>
        <rFont val="맑은 고딕"/>
        <family val="3"/>
        <charset val="129"/>
        <scheme val="minor"/>
      </rPr>
      <t xml:space="preserve">(인건비-인건비*필요경비공제율) </t>
    </r>
    <r>
      <rPr>
        <sz val="11"/>
        <color theme="1"/>
        <rFont val="맑은 고딕"/>
        <family val="3"/>
        <charset val="129"/>
        <scheme val="minor"/>
      </rPr>
      <t xml:space="preserve">            </t>
    </r>
    <phoneticPr fontId="2" type="noConversion"/>
  </si>
  <si>
    <t>맞춤형 
프로그램</t>
    <phoneticPr fontId="2" type="noConversion"/>
  </si>
  <si>
    <t xml:space="preserve">  - 강사료: 학교에서 결정한 시간당 금액 예시) 40,000원(계약업체 강사료 지급하한금액: 시간당 40,000원)</t>
    <phoneticPr fontId="2" type="noConversion"/>
  </si>
  <si>
    <t>인상율 예시</t>
    <phoneticPr fontId="2" type="noConversion"/>
  </si>
  <si>
    <t xml:space="preserve">증감액 적용 예시 </t>
    <phoneticPr fontId="2" type="noConversion"/>
  </si>
  <si>
    <t>전년도와 동일 예시</t>
    <phoneticPr fontId="2" type="noConversion"/>
  </si>
  <si>
    <t>방과후학교
교육프로그램</t>
    <phoneticPr fontId="2" type="noConversion"/>
  </si>
  <si>
    <t>○○○○학교 20○○학년도 돌봄·방과후학교 프로그램 운영 용역</t>
    <phoneticPr fontId="2" type="noConversion"/>
  </si>
  <si>
    <t>돌봄·방과후학교 운영 용역 합산 원가계산서</t>
    <phoneticPr fontId="2" type="noConversion"/>
  </si>
  <si>
    <t>○○○○학교 20○○학년도 맞춤형 프로그램 운영 용역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</si>
</sst>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_ ;[Red]\-#,##0\ "/>
    <numFmt numFmtId="178" formatCode="#,##0.0_ ;[Red]\-#,##0.0\ "/>
    <numFmt numFmtId="179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41" fontId="0" fillId="0" borderId="1" xfId="1" applyNumberFormat="1" applyFont="1" applyBorder="1">
      <alignment vertical="center"/>
    </xf>
    <xf numFmtId="0" fontId="0" fillId="3" borderId="1" xfId="0" applyFill="1" applyBorder="1" applyProtection="1">
      <alignment vertical="center"/>
      <protection locked="0"/>
    </xf>
    <xf numFmtId="41" fontId="0" fillId="3" borderId="1" xfId="1" applyFont="1" applyFill="1" applyBorder="1" applyProtection="1">
      <alignment vertical="center"/>
      <protection locked="0"/>
    </xf>
    <xf numFmtId="176" fontId="0" fillId="3" borderId="1" xfId="1" applyNumberFormat="1" applyFont="1" applyFill="1" applyBorder="1" applyProtection="1">
      <alignment vertical="center"/>
      <protection locked="0"/>
    </xf>
    <xf numFmtId="177" fontId="0" fillId="3" borderId="1" xfId="1" applyNumberFormat="1" applyFont="1" applyFill="1" applyBorder="1" applyProtection="1">
      <alignment vertical="center"/>
      <protection locked="0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9" fontId="4" fillId="0" borderId="1" xfId="0" applyNumberFormat="1" applyFont="1" applyFill="1" applyBorder="1" applyAlignment="1">
      <alignment horizontal="center" vertical="center" wrapText="1"/>
    </xf>
    <xf numFmtId="41" fontId="0" fillId="0" borderId="1" xfId="1" applyFont="1" applyFill="1" applyBorder="1" applyProtection="1">
      <alignment vertical="center"/>
      <protection locked="0"/>
    </xf>
    <xf numFmtId="0" fontId="0" fillId="0" borderId="22" xfId="0" applyBorder="1" applyAlignment="1">
      <alignment horizontal="center" vertical="center"/>
    </xf>
    <xf numFmtId="0" fontId="0" fillId="3" borderId="23" xfId="0" applyFill="1" applyBorder="1" applyProtection="1">
      <alignment vertical="center"/>
      <protection locked="0"/>
    </xf>
    <xf numFmtId="41" fontId="0" fillId="3" borderId="23" xfId="1" applyFont="1" applyFill="1" applyBorder="1" applyProtection="1">
      <alignment vertical="center"/>
      <protection locked="0"/>
    </xf>
    <xf numFmtId="177" fontId="0" fillId="3" borderId="23" xfId="1" applyNumberFormat="1" applyFont="1" applyFill="1" applyBorder="1" applyProtection="1">
      <alignment vertical="center"/>
      <protection locked="0"/>
    </xf>
    <xf numFmtId="176" fontId="0" fillId="3" borderId="23" xfId="1" applyNumberFormat="1" applyFont="1" applyFill="1" applyBorder="1" applyProtection="1">
      <alignment vertical="center"/>
      <protection locked="0"/>
    </xf>
    <xf numFmtId="41" fontId="0" fillId="0" borderId="23" xfId="1" applyNumberFormat="1" applyFont="1" applyBorder="1">
      <alignment vertical="center"/>
    </xf>
    <xf numFmtId="41" fontId="0" fillId="0" borderId="23" xfId="1" applyFont="1" applyFill="1" applyBorder="1" applyProtection="1">
      <alignment vertical="center"/>
      <protection locked="0"/>
    </xf>
    <xf numFmtId="41" fontId="0" fillId="0" borderId="1" xfId="1" applyNumberFormat="1" applyFont="1" applyBorder="1" applyProtection="1">
      <alignment vertical="center"/>
    </xf>
    <xf numFmtId="41" fontId="0" fillId="0" borderId="1" xfId="1" applyFont="1" applyBorder="1" applyProtection="1">
      <alignment vertical="center"/>
    </xf>
    <xf numFmtId="41" fontId="0" fillId="0" borderId="1" xfId="1" applyFont="1" applyFill="1" applyBorder="1" applyProtection="1">
      <alignment vertical="center"/>
    </xf>
    <xf numFmtId="41" fontId="0" fillId="0" borderId="23" xfId="1" applyNumberFormat="1" applyFont="1" applyBorder="1" applyProtection="1">
      <alignment vertical="center"/>
    </xf>
    <xf numFmtId="41" fontId="0" fillId="0" borderId="23" xfId="1" applyFont="1" applyBorder="1" applyProtection="1">
      <alignment vertical="center"/>
    </xf>
    <xf numFmtId="41" fontId="0" fillId="0" borderId="23" xfId="1" applyFont="1" applyFill="1" applyBorder="1" applyProtection="1">
      <alignment vertical="center"/>
    </xf>
    <xf numFmtId="176" fontId="0" fillId="3" borderId="1" xfId="1" applyNumberFormat="1" applyFont="1" applyFill="1" applyBorder="1" applyAlignment="1" applyProtection="1">
      <alignment horizontal="right" vertical="center"/>
      <protection locked="0"/>
    </xf>
    <xf numFmtId="176" fontId="0" fillId="3" borderId="23" xfId="1" applyNumberFormat="1" applyFont="1" applyFill="1" applyBorder="1" applyAlignment="1" applyProtection="1">
      <alignment horizontal="right" vertical="center"/>
      <protection locked="0"/>
    </xf>
    <xf numFmtId="41" fontId="5" fillId="0" borderId="1" xfId="1" applyFont="1" applyFill="1" applyBorder="1" applyAlignment="1">
      <alignment horizontal="right" vertical="center" wrapText="1" inden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 applyProtection="1">
      <alignment horizontal="center" vertical="center" wrapText="1"/>
      <protection locked="0"/>
    </xf>
    <xf numFmtId="0" fontId="4" fillId="0" borderId="7" xfId="0" applyFont="1" applyBorder="1" applyProtection="1">
      <alignment vertical="center"/>
      <protection locked="0"/>
    </xf>
    <xf numFmtId="41" fontId="5" fillId="2" borderId="23" xfId="1" applyFont="1" applyFill="1" applyBorder="1" applyAlignment="1">
      <alignment horizontal="right" vertical="center" wrapText="1" indent="1"/>
    </xf>
    <xf numFmtId="0" fontId="0" fillId="0" borderId="8" xfId="0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178" fontId="0" fillId="3" borderId="1" xfId="1" applyNumberFormat="1" applyFont="1" applyFill="1" applyBorder="1" applyProtection="1">
      <alignment vertical="center"/>
      <protection locked="0"/>
    </xf>
    <xf numFmtId="178" fontId="0" fillId="3" borderId="23" xfId="1" applyNumberFormat="1" applyFont="1" applyFill="1" applyBorder="1" applyProtection="1">
      <alignment vertical="center"/>
      <protection locked="0"/>
    </xf>
    <xf numFmtId="9" fontId="0" fillId="0" borderId="1" xfId="1" applyNumberFormat="1" applyFont="1" applyFill="1" applyBorder="1" applyAlignment="1" applyProtection="1">
      <alignment horizontal="right" vertical="center"/>
    </xf>
    <xf numFmtId="9" fontId="0" fillId="0" borderId="23" xfId="1" applyNumberFormat="1" applyFont="1" applyFill="1" applyBorder="1" applyAlignment="1" applyProtection="1">
      <alignment horizontal="right" vertical="center"/>
    </xf>
    <xf numFmtId="10" fontId="0" fillId="0" borderId="1" xfId="0" applyNumberFormat="1" applyBorder="1" applyAlignment="1" applyProtection="1">
      <alignment horizontal="right" vertical="center"/>
    </xf>
    <xf numFmtId="10" fontId="0" fillId="0" borderId="23" xfId="0" applyNumberFormat="1" applyBorder="1" applyAlignment="1" applyProtection="1">
      <alignment horizontal="right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>
      <alignment vertical="center"/>
    </xf>
    <xf numFmtId="41" fontId="0" fillId="0" borderId="32" xfId="0" applyNumberFormat="1" applyBorder="1">
      <alignment vertical="center"/>
    </xf>
    <xf numFmtId="41" fontId="8" fillId="0" borderId="37" xfId="0" applyNumberFormat="1" applyFont="1" applyBorder="1">
      <alignment vertical="center"/>
    </xf>
    <xf numFmtId="0" fontId="0" fillId="4" borderId="0" xfId="0" applyFill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41" fontId="0" fillId="4" borderId="1" xfId="1" applyNumberFormat="1" applyFont="1" applyFill="1" applyBorder="1" applyProtection="1">
      <alignment vertical="center"/>
    </xf>
    <xf numFmtId="41" fontId="0" fillId="4" borderId="7" xfId="1" applyFont="1" applyFill="1" applyBorder="1" applyProtection="1">
      <alignment vertical="center"/>
    </xf>
    <xf numFmtId="41" fontId="0" fillId="4" borderId="23" xfId="1" applyNumberFormat="1" applyFont="1" applyFill="1" applyBorder="1" applyProtection="1">
      <alignment vertical="center"/>
    </xf>
    <xf numFmtId="41" fontId="0" fillId="4" borderId="24" xfId="1" applyFont="1" applyFill="1" applyBorder="1" applyProtection="1">
      <alignment vertical="center"/>
    </xf>
    <xf numFmtId="0" fontId="0" fillId="4" borderId="38" xfId="0" applyFill="1" applyBorder="1">
      <alignment vertical="center"/>
    </xf>
    <xf numFmtId="41" fontId="8" fillId="4" borderId="39" xfId="0" applyNumberFormat="1" applyFont="1" applyFill="1" applyBorder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176" fontId="4" fillId="3" borderId="19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center"/>
    </xf>
    <xf numFmtId="0" fontId="12" fillId="0" borderId="7" xfId="0" applyFont="1" applyFill="1" applyBorder="1" applyAlignment="1" applyProtection="1">
      <alignment horizontal="left" vertical="center" wrapText="1"/>
      <protection locked="0"/>
    </xf>
    <xf numFmtId="10" fontId="4" fillId="3" borderId="19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179" fontId="0" fillId="3" borderId="1" xfId="0" applyNumberFormat="1" applyFill="1" applyBorder="1" applyProtection="1">
      <alignment vertical="center"/>
      <protection locked="0"/>
    </xf>
    <xf numFmtId="10" fontId="0" fillId="3" borderId="1" xfId="0" applyNumberFormat="1" applyFill="1" applyBorder="1" applyProtection="1">
      <alignment vertical="center"/>
      <protection locked="0"/>
    </xf>
    <xf numFmtId="9" fontId="0" fillId="3" borderId="1" xfId="1" applyNumberFormat="1" applyFont="1" applyFill="1" applyBorder="1" applyAlignment="1" applyProtection="1">
      <alignment horizontal="right" vertical="center"/>
    </xf>
    <xf numFmtId="41" fontId="0" fillId="3" borderId="1" xfId="1" applyNumberFormat="1" applyFont="1" applyFill="1" applyBorder="1" applyProtection="1">
      <alignment vertical="center"/>
    </xf>
    <xf numFmtId="10" fontId="0" fillId="0" borderId="1" xfId="0" applyNumberFormat="1" applyFill="1" applyBorder="1" applyProtection="1">
      <alignment vertical="center"/>
      <protection locked="0"/>
    </xf>
    <xf numFmtId="41" fontId="8" fillId="0" borderId="23" xfId="0" applyNumberFormat="1" applyFont="1" applyBorder="1">
      <alignment vertical="center"/>
    </xf>
    <xf numFmtId="0" fontId="0" fillId="0" borderId="42" xfId="0" applyBorder="1">
      <alignment vertical="center"/>
    </xf>
    <xf numFmtId="10" fontId="4" fillId="0" borderId="19" xfId="0" applyNumberFormat="1" applyFont="1" applyFill="1" applyBorder="1" applyAlignment="1">
      <alignment horizontal="center" vertical="center" wrapText="1"/>
    </xf>
    <xf numFmtId="41" fontId="5" fillId="0" borderId="9" xfId="1" applyFont="1" applyFill="1" applyBorder="1" applyAlignment="1">
      <alignment horizontal="right" vertical="center" wrapText="1" indent="1"/>
    </xf>
    <xf numFmtId="0" fontId="4" fillId="0" borderId="24" xfId="0" applyFont="1" applyBorder="1" applyAlignment="1">
      <alignment horizontal="center" vertical="center" wrapText="1"/>
    </xf>
    <xf numFmtId="0" fontId="0" fillId="0" borderId="0" xfId="0" applyFill="1">
      <alignment vertical="center"/>
    </xf>
    <xf numFmtId="41" fontId="0" fillId="0" borderId="1" xfId="1" applyNumberFormat="1" applyFont="1" applyFill="1" applyBorder="1" applyProtection="1">
      <alignment vertical="center"/>
    </xf>
    <xf numFmtId="41" fontId="0" fillId="0" borderId="7" xfId="1" applyFont="1" applyFill="1" applyBorder="1" applyProtection="1">
      <alignment vertical="center"/>
    </xf>
    <xf numFmtId="0" fontId="0" fillId="0" borderId="42" xfId="0" applyFill="1" applyBorder="1">
      <alignment vertical="center"/>
    </xf>
    <xf numFmtId="41" fontId="8" fillId="0" borderId="24" xfId="0" applyNumberFormat="1" applyFont="1" applyFill="1" applyBorder="1">
      <alignment vertical="center"/>
    </xf>
    <xf numFmtId="179" fontId="8" fillId="0" borderId="29" xfId="0" applyNumberFormat="1" applyFont="1" applyBorder="1" applyAlignment="1">
      <alignment vertical="center"/>
    </xf>
    <xf numFmtId="41" fontId="15" fillId="0" borderId="0" xfId="0" applyNumberFormat="1" applyFont="1" applyFill="1">
      <alignment vertical="center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3" fontId="0" fillId="0" borderId="0" xfId="0" applyNumberFormat="1" applyFill="1">
      <alignment vertical="center"/>
    </xf>
    <xf numFmtId="10" fontId="0" fillId="3" borderId="1" xfId="0" applyNumberFormat="1" applyFill="1" applyBorder="1" applyAlignment="1" applyProtection="1">
      <alignment horizontal="right" vertical="center"/>
      <protection locked="0"/>
    </xf>
    <xf numFmtId="10" fontId="0" fillId="0" borderId="1" xfId="0" applyNumberFormat="1" applyFill="1" applyBorder="1" applyAlignment="1" applyProtection="1">
      <alignment horizontal="right" vertical="center"/>
      <protection locked="0"/>
    </xf>
    <xf numFmtId="176" fontId="19" fillId="3" borderId="7" xfId="0" applyNumberFormat="1" applyFont="1" applyFill="1" applyBorder="1" applyAlignment="1">
      <alignment horizontal="center" vertical="center" wrapText="1"/>
    </xf>
    <xf numFmtId="176" fontId="19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vertical="center" shrinkToFit="1"/>
      <protection locked="0"/>
    </xf>
    <xf numFmtId="0" fontId="6" fillId="3" borderId="25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41" fontId="3" fillId="0" borderId="25" xfId="0" applyNumberFormat="1" applyFont="1" applyBorder="1" applyAlignment="1">
      <alignment horizontal="center" vertical="center"/>
    </xf>
    <xf numFmtId="41" fontId="3" fillId="0" borderId="4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indent="1"/>
    </xf>
    <xf numFmtId="0" fontId="0" fillId="0" borderId="7" xfId="0" applyFill="1" applyBorder="1" applyAlignment="1">
      <alignment horizontal="left" vertical="center" indent="1"/>
    </xf>
    <xf numFmtId="0" fontId="13" fillId="0" borderId="1" xfId="0" applyFont="1" applyFill="1" applyBorder="1" applyAlignment="1">
      <alignment horizontal="left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0" fillId="0" borderId="41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3" fillId="0" borderId="4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27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51" xfId="0" applyFont="1" applyBorder="1" applyAlignment="1">
      <alignment horizontal="left" vertical="center"/>
    </xf>
    <xf numFmtId="0" fontId="0" fillId="0" borderId="28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0" fillId="0" borderId="52" xfId="0" applyFont="1" applyBorder="1" applyAlignment="1">
      <alignment horizontal="left" vertical="center"/>
    </xf>
    <xf numFmtId="0" fontId="0" fillId="0" borderId="11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0" fillId="0" borderId="4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48" xfId="0" applyFont="1" applyBorder="1" applyAlignment="1">
      <alignment horizontal="left" vertical="center"/>
    </xf>
    <xf numFmtId="0" fontId="0" fillId="0" borderId="49" xfId="0" applyFont="1" applyBorder="1" applyAlignment="1">
      <alignment horizontal="left" vertical="center"/>
    </xf>
    <xf numFmtId="0" fontId="0" fillId="0" borderId="50" xfId="0" applyFont="1" applyBorder="1" applyAlignment="1">
      <alignment horizontal="left" vertical="center"/>
    </xf>
    <xf numFmtId="0" fontId="14" fillId="0" borderId="3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0" fontId="0" fillId="3" borderId="9" xfId="0" applyFill="1" applyBorder="1" applyAlignment="1">
      <alignment horizontal="left" vertical="center" indent="1"/>
    </xf>
    <xf numFmtId="0" fontId="0" fillId="3" borderId="7" xfId="0" applyFill="1" applyBorder="1" applyAlignment="1">
      <alignment horizontal="left" vertical="center" inden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"/>
  <sheetViews>
    <sheetView tabSelected="1" zoomScaleNormal="100" workbookViewId="0">
      <selection activeCell="D16" sqref="D16"/>
    </sheetView>
  </sheetViews>
  <sheetFormatPr defaultRowHeight="16.5" x14ac:dyDescent="0.3"/>
  <cols>
    <col min="1" max="1" width="6.625" customWidth="1"/>
    <col min="2" max="2" width="13.75" customWidth="1"/>
    <col min="3" max="3" width="10.625" customWidth="1"/>
    <col min="4" max="4" width="9.5" customWidth="1"/>
    <col min="6" max="6" width="10.625" customWidth="1"/>
    <col min="10" max="11" width="9" customWidth="1"/>
    <col min="14" max="14" width="10.625" customWidth="1"/>
    <col min="15" max="15" width="15.625" customWidth="1"/>
    <col min="16" max="16" width="10.625" customWidth="1"/>
    <col min="17" max="17" width="13.125" customWidth="1"/>
    <col min="18" max="18" width="10.625" customWidth="1"/>
    <col min="19" max="19" width="13.125" customWidth="1"/>
    <col min="20" max="20" width="10.625" customWidth="1"/>
    <col min="21" max="21" width="13.125" customWidth="1"/>
    <col min="22" max="22" width="10.625" style="53" customWidth="1"/>
    <col min="23" max="23" width="15.625" style="53" customWidth="1"/>
    <col min="24" max="24" width="12.625" bestFit="1" customWidth="1"/>
  </cols>
  <sheetData>
    <row r="1" spans="1:24" ht="17.25" thickBot="1" x14ac:dyDescent="0.35"/>
    <row r="2" spans="1:24" ht="33" customHeight="1" thickBot="1" x14ac:dyDescent="0.35">
      <c r="A2" s="96" t="s">
        <v>70</v>
      </c>
      <c r="B2" s="97"/>
      <c r="C2" s="97"/>
      <c r="D2" s="97"/>
      <c r="E2" s="97"/>
      <c r="F2" s="97"/>
      <c r="G2" s="97"/>
      <c r="H2" s="98"/>
      <c r="I2" s="97" t="s">
        <v>90</v>
      </c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8"/>
    </row>
    <row r="3" spans="1:24" ht="29.25" customHeight="1" x14ac:dyDescent="0.3">
      <c r="A3" s="106" t="s">
        <v>0</v>
      </c>
      <c r="B3" s="109" t="s">
        <v>25</v>
      </c>
      <c r="C3" s="112" t="s">
        <v>41</v>
      </c>
      <c r="D3" s="115" t="s">
        <v>33</v>
      </c>
      <c r="E3" s="116"/>
      <c r="F3" s="119" t="s">
        <v>32</v>
      </c>
      <c r="G3" s="120"/>
      <c r="H3" s="120"/>
      <c r="I3" s="120"/>
      <c r="J3" s="120"/>
      <c r="K3" s="120"/>
      <c r="L3" s="120"/>
      <c r="M3" s="121"/>
      <c r="N3" s="99" t="s">
        <v>1</v>
      </c>
      <c r="O3" s="99"/>
      <c r="P3" s="99"/>
      <c r="Q3" s="99"/>
      <c r="R3" s="99"/>
      <c r="S3" s="99"/>
      <c r="T3" s="99"/>
      <c r="U3" s="99"/>
      <c r="V3" s="99"/>
      <c r="W3" s="100"/>
    </row>
    <row r="4" spans="1:24" ht="22.5" customHeight="1" x14ac:dyDescent="0.3">
      <c r="A4" s="107"/>
      <c r="B4" s="110"/>
      <c r="C4" s="113"/>
      <c r="D4" s="117"/>
      <c r="E4" s="118"/>
      <c r="F4" s="122"/>
      <c r="G4" s="123"/>
      <c r="H4" s="123"/>
      <c r="I4" s="123"/>
      <c r="J4" s="123"/>
      <c r="K4" s="123"/>
      <c r="L4" s="123"/>
      <c r="M4" s="124"/>
      <c r="N4" s="101" t="s">
        <v>2</v>
      </c>
      <c r="O4" s="101"/>
      <c r="P4" s="101" t="s">
        <v>3</v>
      </c>
      <c r="Q4" s="101"/>
      <c r="R4" s="101" t="s">
        <v>4</v>
      </c>
      <c r="S4" s="101"/>
      <c r="T4" s="101" t="s">
        <v>5</v>
      </c>
      <c r="U4" s="101"/>
      <c r="V4" s="102" t="s">
        <v>40</v>
      </c>
      <c r="W4" s="103"/>
    </row>
    <row r="5" spans="1:24" ht="80.25" customHeight="1" x14ac:dyDescent="0.3">
      <c r="A5" s="108"/>
      <c r="B5" s="111"/>
      <c r="C5" s="114"/>
      <c r="D5" s="62" t="s">
        <v>38</v>
      </c>
      <c r="E5" s="41" t="s">
        <v>30</v>
      </c>
      <c r="F5" s="42" t="s">
        <v>31</v>
      </c>
      <c r="G5" s="40" t="s">
        <v>9</v>
      </c>
      <c r="H5" s="40" t="s">
        <v>6</v>
      </c>
      <c r="I5" s="40" t="s">
        <v>23</v>
      </c>
      <c r="J5" s="40" t="s">
        <v>34</v>
      </c>
      <c r="K5" s="40" t="s">
        <v>36</v>
      </c>
      <c r="L5" s="40" t="s">
        <v>37</v>
      </c>
      <c r="M5" s="40" t="s">
        <v>35</v>
      </c>
      <c r="N5" s="7" t="s">
        <v>21</v>
      </c>
      <c r="O5" s="8" t="s">
        <v>8</v>
      </c>
      <c r="P5" s="7" t="s">
        <v>7</v>
      </c>
      <c r="Q5" s="9" t="s">
        <v>8</v>
      </c>
      <c r="R5" s="7" t="s">
        <v>7</v>
      </c>
      <c r="S5" s="8" t="s">
        <v>8</v>
      </c>
      <c r="T5" s="7" t="s">
        <v>7</v>
      </c>
      <c r="U5" s="8" t="s">
        <v>8</v>
      </c>
      <c r="V5" s="54" t="s">
        <v>7</v>
      </c>
      <c r="W5" s="55" t="s">
        <v>8</v>
      </c>
    </row>
    <row r="6" spans="1:24" x14ac:dyDescent="0.3">
      <c r="A6" s="1">
        <v>1</v>
      </c>
      <c r="B6" s="95" t="s">
        <v>86</v>
      </c>
      <c r="C6" s="4">
        <v>50000</v>
      </c>
      <c r="D6" s="6"/>
      <c r="E6" s="5">
        <v>4.1000000000000002E-2</v>
      </c>
      <c r="F6" s="2">
        <f>ROUND(IF(D6=0,C6+C6*E6,C6+D6),-1)</f>
        <v>52050</v>
      </c>
      <c r="G6" s="4">
        <v>100</v>
      </c>
      <c r="H6" s="43">
        <v>10</v>
      </c>
      <c r="I6" s="14">
        <f>G6*H6</f>
        <v>1000</v>
      </c>
      <c r="J6" s="28">
        <v>0.8</v>
      </c>
      <c r="K6" s="47">
        <f t="shared" ref="K6:K18" si="0">(1/J6-(1+L6+M6+L6*M6))/((1+L6+M6+L6*M6))</f>
        <v>7.204116638078889E-2</v>
      </c>
      <c r="L6" s="45">
        <v>0.06</v>
      </c>
      <c r="M6" s="45">
        <v>0.1</v>
      </c>
      <c r="N6" s="22">
        <f t="shared" ref="N6:N18" si="1">F6*J6</f>
        <v>41640</v>
      </c>
      <c r="O6" s="23">
        <f t="shared" ref="O6:O18" si="2">N6*$I6</f>
        <v>41640000</v>
      </c>
      <c r="P6" s="23">
        <f t="shared" ref="P6:P23" si="3">N6*K6</f>
        <v>2999.7941680960494</v>
      </c>
      <c r="Q6" s="23">
        <f t="shared" ref="Q6:Q23" si="4">O6*K6</f>
        <v>2999794.1680960492</v>
      </c>
      <c r="R6" s="22">
        <f t="shared" ref="R6:R23" si="5">(N6+P6)*L6</f>
        <v>2678.3876500857627</v>
      </c>
      <c r="S6" s="23">
        <f t="shared" ref="S6:S23" si="6">(O6+Q6)*L6</f>
        <v>2678387.6500857631</v>
      </c>
      <c r="T6" s="22">
        <f t="shared" ref="T6:T23" si="7">(N6+P6+R6)*M6</f>
        <v>4731.818181818182</v>
      </c>
      <c r="U6" s="24">
        <f t="shared" ref="U6:U23" si="8">(O6+Q6+S6)*M6</f>
        <v>4731818.1818181816</v>
      </c>
      <c r="V6" s="56">
        <f t="shared" ref="V6:V18" si="9">ROUND(N6+P6+R6+T6,0)</f>
        <v>52050</v>
      </c>
      <c r="W6" s="57">
        <f t="shared" ref="W6:W18" si="10">ROUND(O6+Q6+S6+U6,0)</f>
        <v>52050000</v>
      </c>
      <c r="X6" s="12"/>
    </row>
    <row r="7" spans="1:24" x14ac:dyDescent="0.3">
      <c r="A7" s="1">
        <v>2</v>
      </c>
      <c r="B7" s="95" t="s">
        <v>86</v>
      </c>
      <c r="C7" s="4">
        <v>50000</v>
      </c>
      <c r="D7" s="6"/>
      <c r="E7" s="5">
        <v>3.7999999999999999E-2</v>
      </c>
      <c r="F7" s="2">
        <f t="shared" ref="F7:F64" si="11">ROUND(IF(D7=0,C7+C7*E7,C7+D7),-1)</f>
        <v>51900</v>
      </c>
      <c r="G7" s="4">
        <v>20</v>
      </c>
      <c r="H7" s="43">
        <v>10</v>
      </c>
      <c r="I7" s="14">
        <f t="shared" ref="I7:I65" si="12">G7*H7</f>
        <v>200</v>
      </c>
      <c r="J7" s="28">
        <v>0.79</v>
      </c>
      <c r="K7" s="47">
        <f t="shared" si="0"/>
        <v>8.5611307727381028E-2</v>
      </c>
      <c r="L7" s="45">
        <v>0.06</v>
      </c>
      <c r="M7" s="45">
        <v>0.1</v>
      </c>
      <c r="N7" s="22">
        <f t="shared" si="1"/>
        <v>41001</v>
      </c>
      <c r="O7" s="23">
        <f t="shared" si="2"/>
        <v>8200200</v>
      </c>
      <c r="P7" s="23">
        <f t="shared" si="3"/>
        <v>3510.1492281303495</v>
      </c>
      <c r="Q7" s="23">
        <f t="shared" si="4"/>
        <v>702029.84562606993</v>
      </c>
      <c r="R7" s="22">
        <f t="shared" si="5"/>
        <v>2670.6689536878212</v>
      </c>
      <c r="S7" s="23">
        <f t="shared" si="6"/>
        <v>534133.79073756409</v>
      </c>
      <c r="T7" s="22">
        <f t="shared" si="7"/>
        <v>4718.1818181818171</v>
      </c>
      <c r="U7" s="24">
        <f t="shared" si="8"/>
        <v>943636.3636363633</v>
      </c>
      <c r="V7" s="56">
        <f t="shared" si="9"/>
        <v>51900</v>
      </c>
      <c r="W7" s="57">
        <f t="shared" si="10"/>
        <v>10380000</v>
      </c>
    </row>
    <row r="8" spans="1:24" x14ac:dyDescent="0.3">
      <c r="A8" s="1">
        <v>3</v>
      </c>
      <c r="B8" s="95" t="s">
        <v>88</v>
      </c>
      <c r="C8" s="4">
        <v>35000</v>
      </c>
      <c r="D8" s="6">
        <v>0</v>
      </c>
      <c r="E8" s="5"/>
      <c r="F8" s="2">
        <f t="shared" ref="F8" si="13">ROUND(IF(D8=0,C8+C8*E8,C8+D8),-1)</f>
        <v>35000</v>
      </c>
      <c r="G8" s="4">
        <v>80</v>
      </c>
      <c r="H8" s="43">
        <v>10</v>
      </c>
      <c r="I8" s="14">
        <f t="shared" si="12"/>
        <v>800</v>
      </c>
      <c r="J8" s="28">
        <v>0.78</v>
      </c>
      <c r="K8" s="47">
        <f t="shared" si="0"/>
        <v>9.9529401416193639E-2</v>
      </c>
      <c r="L8" s="45">
        <v>0.06</v>
      </c>
      <c r="M8" s="45">
        <v>0.1</v>
      </c>
      <c r="N8" s="22">
        <f t="shared" si="1"/>
        <v>27300</v>
      </c>
      <c r="O8" s="23">
        <f t="shared" si="2"/>
        <v>21840000</v>
      </c>
      <c r="P8" s="23">
        <f t="shared" si="3"/>
        <v>2717.1526586620862</v>
      </c>
      <c r="Q8" s="23">
        <f t="shared" si="4"/>
        <v>2173722.1269296692</v>
      </c>
      <c r="R8" s="22">
        <f t="shared" si="5"/>
        <v>1801.029159519725</v>
      </c>
      <c r="S8" s="23">
        <f t="shared" si="6"/>
        <v>1440823.3276157803</v>
      </c>
      <c r="T8" s="22">
        <f t="shared" si="7"/>
        <v>3181.8181818181811</v>
      </c>
      <c r="U8" s="24">
        <f t="shared" si="8"/>
        <v>2545454.5454545449</v>
      </c>
      <c r="V8" s="56">
        <f t="shared" si="9"/>
        <v>35000</v>
      </c>
      <c r="W8" s="57">
        <f t="shared" si="10"/>
        <v>28000000</v>
      </c>
    </row>
    <row r="9" spans="1:24" x14ac:dyDescent="0.3">
      <c r="A9" s="1">
        <v>4</v>
      </c>
      <c r="B9" s="95" t="s">
        <v>87</v>
      </c>
      <c r="C9" s="4">
        <v>33000</v>
      </c>
      <c r="D9" s="6">
        <v>3000</v>
      </c>
      <c r="E9" s="5"/>
      <c r="F9" s="2">
        <f>ROUND(IF(D9=0,C9+C9*E9,C9+D9),-1)</f>
        <v>36000</v>
      </c>
      <c r="G9" s="4">
        <v>75</v>
      </c>
      <c r="H9" s="43">
        <v>10</v>
      </c>
      <c r="I9" s="14">
        <f t="shared" si="12"/>
        <v>750</v>
      </c>
      <c r="J9" s="28">
        <v>0.77</v>
      </c>
      <c r="K9" s="47">
        <f t="shared" si="0"/>
        <v>0.11380900403198844</v>
      </c>
      <c r="L9" s="45">
        <v>0.06</v>
      </c>
      <c r="M9" s="45">
        <v>0.1</v>
      </c>
      <c r="N9" s="22">
        <f t="shared" si="1"/>
        <v>27720</v>
      </c>
      <c r="O9" s="23">
        <f t="shared" si="2"/>
        <v>20790000</v>
      </c>
      <c r="P9" s="23">
        <f t="shared" si="3"/>
        <v>3154.7855917667198</v>
      </c>
      <c r="Q9" s="23">
        <f t="shared" si="4"/>
        <v>2366089.1938250395</v>
      </c>
      <c r="R9" s="22">
        <f t="shared" si="5"/>
        <v>1852.4871355060031</v>
      </c>
      <c r="S9" s="23">
        <f t="shared" si="6"/>
        <v>1389365.3516295024</v>
      </c>
      <c r="T9" s="22">
        <f t="shared" si="7"/>
        <v>3272.7272727272721</v>
      </c>
      <c r="U9" s="24">
        <f t="shared" si="8"/>
        <v>2454545.4545454546</v>
      </c>
      <c r="V9" s="56">
        <f t="shared" si="9"/>
        <v>36000</v>
      </c>
      <c r="W9" s="57">
        <f t="shared" si="10"/>
        <v>27000000</v>
      </c>
    </row>
    <row r="10" spans="1:24" x14ac:dyDescent="0.3">
      <c r="A10" s="1">
        <v>5</v>
      </c>
      <c r="B10" s="3"/>
      <c r="C10" s="4"/>
      <c r="D10" s="6"/>
      <c r="E10" s="5"/>
      <c r="F10" s="2">
        <f t="shared" si="11"/>
        <v>0</v>
      </c>
      <c r="G10" s="4"/>
      <c r="H10" s="43"/>
      <c r="I10" s="14">
        <f t="shared" si="12"/>
        <v>0</v>
      </c>
      <c r="J10" s="28">
        <v>0.8</v>
      </c>
      <c r="K10" s="47">
        <f t="shared" si="0"/>
        <v>7.204116638078889E-2</v>
      </c>
      <c r="L10" s="45">
        <v>0.06</v>
      </c>
      <c r="M10" s="45">
        <v>0.1</v>
      </c>
      <c r="N10" s="22">
        <f t="shared" si="1"/>
        <v>0</v>
      </c>
      <c r="O10" s="23">
        <f t="shared" si="2"/>
        <v>0</v>
      </c>
      <c r="P10" s="23">
        <f t="shared" si="3"/>
        <v>0</v>
      </c>
      <c r="Q10" s="23">
        <f t="shared" si="4"/>
        <v>0</v>
      </c>
      <c r="R10" s="22">
        <f t="shared" si="5"/>
        <v>0</v>
      </c>
      <c r="S10" s="23">
        <f t="shared" si="6"/>
        <v>0</v>
      </c>
      <c r="T10" s="22">
        <f t="shared" si="7"/>
        <v>0</v>
      </c>
      <c r="U10" s="24">
        <f t="shared" si="8"/>
        <v>0</v>
      </c>
      <c r="V10" s="56">
        <f t="shared" si="9"/>
        <v>0</v>
      </c>
      <c r="W10" s="57">
        <f t="shared" si="10"/>
        <v>0</v>
      </c>
    </row>
    <row r="11" spans="1:24" x14ac:dyDescent="0.3">
      <c r="A11" s="1">
        <v>6</v>
      </c>
      <c r="B11" s="3"/>
      <c r="C11" s="4"/>
      <c r="D11" s="6"/>
      <c r="E11" s="5"/>
      <c r="F11" s="2">
        <f t="shared" si="11"/>
        <v>0</v>
      </c>
      <c r="G11" s="4"/>
      <c r="H11" s="43"/>
      <c r="I11" s="14">
        <f t="shared" si="12"/>
        <v>0</v>
      </c>
      <c r="J11" s="28">
        <v>0.79</v>
      </c>
      <c r="K11" s="47">
        <f t="shared" si="0"/>
        <v>8.5611307727381028E-2</v>
      </c>
      <c r="L11" s="45">
        <v>0.06</v>
      </c>
      <c r="M11" s="45">
        <v>0.1</v>
      </c>
      <c r="N11" s="22">
        <f t="shared" si="1"/>
        <v>0</v>
      </c>
      <c r="O11" s="23">
        <f t="shared" si="2"/>
        <v>0</v>
      </c>
      <c r="P11" s="23">
        <f t="shared" si="3"/>
        <v>0</v>
      </c>
      <c r="Q11" s="23">
        <f t="shared" si="4"/>
        <v>0</v>
      </c>
      <c r="R11" s="22">
        <f t="shared" si="5"/>
        <v>0</v>
      </c>
      <c r="S11" s="23">
        <f t="shared" si="6"/>
        <v>0</v>
      </c>
      <c r="T11" s="22">
        <f t="shared" si="7"/>
        <v>0</v>
      </c>
      <c r="U11" s="24">
        <f t="shared" si="8"/>
        <v>0</v>
      </c>
      <c r="V11" s="56">
        <f t="shared" si="9"/>
        <v>0</v>
      </c>
      <c r="W11" s="57">
        <f t="shared" si="10"/>
        <v>0</v>
      </c>
    </row>
    <row r="12" spans="1:24" x14ac:dyDescent="0.3">
      <c r="A12" s="1">
        <v>7</v>
      </c>
      <c r="B12" s="3"/>
      <c r="C12" s="4"/>
      <c r="D12" s="6"/>
      <c r="E12" s="5"/>
      <c r="F12" s="2">
        <f t="shared" si="11"/>
        <v>0</v>
      </c>
      <c r="G12" s="4"/>
      <c r="H12" s="43"/>
      <c r="I12" s="14">
        <f t="shared" si="12"/>
        <v>0</v>
      </c>
      <c r="J12" s="28">
        <v>0.79</v>
      </c>
      <c r="K12" s="47">
        <f t="shared" si="0"/>
        <v>8.5611307727381028E-2</v>
      </c>
      <c r="L12" s="45">
        <v>0.06</v>
      </c>
      <c r="M12" s="45">
        <v>0.1</v>
      </c>
      <c r="N12" s="22">
        <f t="shared" si="1"/>
        <v>0</v>
      </c>
      <c r="O12" s="23">
        <f t="shared" si="2"/>
        <v>0</v>
      </c>
      <c r="P12" s="23">
        <f t="shared" si="3"/>
        <v>0</v>
      </c>
      <c r="Q12" s="23">
        <f t="shared" si="4"/>
        <v>0</v>
      </c>
      <c r="R12" s="22">
        <f t="shared" si="5"/>
        <v>0</v>
      </c>
      <c r="S12" s="23">
        <f t="shared" si="6"/>
        <v>0</v>
      </c>
      <c r="T12" s="22">
        <f t="shared" si="7"/>
        <v>0</v>
      </c>
      <c r="U12" s="24">
        <f t="shared" si="8"/>
        <v>0</v>
      </c>
      <c r="V12" s="56">
        <f t="shared" si="9"/>
        <v>0</v>
      </c>
      <c r="W12" s="57">
        <f t="shared" si="10"/>
        <v>0</v>
      </c>
    </row>
    <row r="13" spans="1:24" x14ac:dyDescent="0.3">
      <c r="A13" s="1">
        <v>8</v>
      </c>
      <c r="B13" s="3"/>
      <c r="C13" s="4"/>
      <c r="D13" s="6"/>
      <c r="E13" s="5"/>
      <c r="F13" s="2">
        <f t="shared" si="11"/>
        <v>0</v>
      </c>
      <c r="G13" s="4"/>
      <c r="H13" s="43"/>
      <c r="I13" s="14">
        <f t="shared" si="12"/>
        <v>0</v>
      </c>
      <c r="J13" s="28">
        <v>0.79</v>
      </c>
      <c r="K13" s="47">
        <f t="shared" si="0"/>
        <v>8.5611307727381028E-2</v>
      </c>
      <c r="L13" s="45">
        <v>0.06</v>
      </c>
      <c r="M13" s="45">
        <v>0.1</v>
      </c>
      <c r="N13" s="22">
        <f t="shared" si="1"/>
        <v>0</v>
      </c>
      <c r="O13" s="23">
        <f t="shared" si="2"/>
        <v>0</v>
      </c>
      <c r="P13" s="23">
        <f t="shared" si="3"/>
        <v>0</v>
      </c>
      <c r="Q13" s="23">
        <f t="shared" si="4"/>
        <v>0</v>
      </c>
      <c r="R13" s="22">
        <f t="shared" si="5"/>
        <v>0</v>
      </c>
      <c r="S13" s="23">
        <f t="shared" si="6"/>
        <v>0</v>
      </c>
      <c r="T13" s="22">
        <f t="shared" si="7"/>
        <v>0</v>
      </c>
      <c r="U13" s="24">
        <f t="shared" si="8"/>
        <v>0</v>
      </c>
      <c r="V13" s="56">
        <f t="shared" si="9"/>
        <v>0</v>
      </c>
      <c r="W13" s="57">
        <f t="shared" si="10"/>
        <v>0</v>
      </c>
    </row>
    <row r="14" spans="1:24" x14ac:dyDescent="0.3">
      <c r="A14" s="1">
        <v>9</v>
      </c>
      <c r="B14" s="3"/>
      <c r="C14" s="4"/>
      <c r="D14" s="6"/>
      <c r="E14" s="5"/>
      <c r="F14" s="2">
        <f t="shared" si="11"/>
        <v>0</v>
      </c>
      <c r="G14" s="4"/>
      <c r="H14" s="43"/>
      <c r="I14" s="14">
        <f t="shared" si="12"/>
        <v>0</v>
      </c>
      <c r="J14" s="28">
        <v>0.79</v>
      </c>
      <c r="K14" s="47">
        <f t="shared" si="0"/>
        <v>8.5611307727381028E-2</v>
      </c>
      <c r="L14" s="45">
        <v>0.06</v>
      </c>
      <c r="M14" s="45">
        <v>0.1</v>
      </c>
      <c r="N14" s="22">
        <f t="shared" si="1"/>
        <v>0</v>
      </c>
      <c r="O14" s="23">
        <f t="shared" si="2"/>
        <v>0</v>
      </c>
      <c r="P14" s="23">
        <f t="shared" si="3"/>
        <v>0</v>
      </c>
      <c r="Q14" s="23">
        <f t="shared" si="4"/>
        <v>0</v>
      </c>
      <c r="R14" s="22">
        <f t="shared" si="5"/>
        <v>0</v>
      </c>
      <c r="S14" s="23">
        <f t="shared" si="6"/>
        <v>0</v>
      </c>
      <c r="T14" s="22">
        <f t="shared" si="7"/>
        <v>0</v>
      </c>
      <c r="U14" s="24">
        <f t="shared" si="8"/>
        <v>0</v>
      </c>
      <c r="V14" s="56">
        <f t="shared" si="9"/>
        <v>0</v>
      </c>
      <c r="W14" s="57">
        <f t="shared" si="10"/>
        <v>0</v>
      </c>
    </row>
    <row r="15" spans="1:24" x14ac:dyDescent="0.3">
      <c r="A15" s="1">
        <v>10</v>
      </c>
      <c r="B15" s="3"/>
      <c r="C15" s="4"/>
      <c r="D15" s="6"/>
      <c r="E15" s="5"/>
      <c r="F15" s="2">
        <f t="shared" si="11"/>
        <v>0</v>
      </c>
      <c r="G15" s="4"/>
      <c r="H15" s="43"/>
      <c r="I15" s="14">
        <f t="shared" si="12"/>
        <v>0</v>
      </c>
      <c r="J15" s="28">
        <v>0.79</v>
      </c>
      <c r="K15" s="47">
        <f t="shared" si="0"/>
        <v>8.5611307727381028E-2</v>
      </c>
      <c r="L15" s="45">
        <v>0.06</v>
      </c>
      <c r="M15" s="45">
        <v>0.1</v>
      </c>
      <c r="N15" s="22">
        <f t="shared" si="1"/>
        <v>0</v>
      </c>
      <c r="O15" s="23">
        <f t="shared" si="2"/>
        <v>0</v>
      </c>
      <c r="P15" s="23">
        <f t="shared" si="3"/>
        <v>0</v>
      </c>
      <c r="Q15" s="23">
        <f t="shared" si="4"/>
        <v>0</v>
      </c>
      <c r="R15" s="22">
        <f t="shared" si="5"/>
        <v>0</v>
      </c>
      <c r="S15" s="23">
        <f t="shared" si="6"/>
        <v>0</v>
      </c>
      <c r="T15" s="22">
        <f t="shared" si="7"/>
        <v>0</v>
      </c>
      <c r="U15" s="24">
        <f t="shared" si="8"/>
        <v>0</v>
      </c>
      <c r="V15" s="56">
        <f t="shared" si="9"/>
        <v>0</v>
      </c>
      <c r="W15" s="57">
        <f t="shared" si="10"/>
        <v>0</v>
      </c>
    </row>
    <row r="16" spans="1:24" x14ac:dyDescent="0.3">
      <c r="A16" s="1">
        <v>11</v>
      </c>
      <c r="B16" s="3"/>
      <c r="C16" s="4"/>
      <c r="D16" s="6"/>
      <c r="E16" s="5"/>
      <c r="F16" s="2">
        <f t="shared" si="11"/>
        <v>0</v>
      </c>
      <c r="G16" s="4"/>
      <c r="H16" s="43"/>
      <c r="I16" s="14">
        <f t="shared" si="12"/>
        <v>0</v>
      </c>
      <c r="J16" s="28">
        <v>0.79</v>
      </c>
      <c r="K16" s="47">
        <f t="shared" si="0"/>
        <v>8.5611307727381028E-2</v>
      </c>
      <c r="L16" s="45">
        <v>0.06</v>
      </c>
      <c r="M16" s="45">
        <v>0.1</v>
      </c>
      <c r="N16" s="22">
        <f t="shared" si="1"/>
        <v>0</v>
      </c>
      <c r="O16" s="23">
        <f t="shared" si="2"/>
        <v>0</v>
      </c>
      <c r="P16" s="23">
        <f t="shared" si="3"/>
        <v>0</v>
      </c>
      <c r="Q16" s="23">
        <f t="shared" si="4"/>
        <v>0</v>
      </c>
      <c r="R16" s="22">
        <f t="shared" si="5"/>
        <v>0</v>
      </c>
      <c r="S16" s="23">
        <f t="shared" si="6"/>
        <v>0</v>
      </c>
      <c r="T16" s="22">
        <f t="shared" si="7"/>
        <v>0</v>
      </c>
      <c r="U16" s="24">
        <f t="shared" si="8"/>
        <v>0</v>
      </c>
      <c r="V16" s="56">
        <f t="shared" si="9"/>
        <v>0</v>
      </c>
      <c r="W16" s="57">
        <f t="shared" si="10"/>
        <v>0</v>
      </c>
    </row>
    <row r="17" spans="1:23" x14ac:dyDescent="0.3">
      <c r="A17" s="1">
        <v>12</v>
      </c>
      <c r="B17" s="3"/>
      <c r="C17" s="4"/>
      <c r="D17" s="6"/>
      <c r="E17" s="5"/>
      <c r="F17" s="2">
        <f t="shared" si="11"/>
        <v>0</v>
      </c>
      <c r="G17" s="4"/>
      <c r="H17" s="43"/>
      <c r="I17" s="14">
        <f t="shared" si="12"/>
        <v>0</v>
      </c>
      <c r="J17" s="28">
        <v>0.79</v>
      </c>
      <c r="K17" s="47">
        <f t="shared" si="0"/>
        <v>8.5611307727381028E-2</v>
      </c>
      <c r="L17" s="45">
        <v>0.06</v>
      </c>
      <c r="M17" s="45">
        <v>0.1</v>
      </c>
      <c r="N17" s="22">
        <f t="shared" si="1"/>
        <v>0</v>
      </c>
      <c r="O17" s="23">
        <f t="shared" si="2"/>
        <v>0</v>
      </c>
      <c r="P17" s="23">
        <f t="shared" si="3"/>
        <v>0</v>
      </c>
      <c r="Q17" s="23">
        <f t="shared" si="4"/>
        <v>0</v>
      </c>
      <c r="R17" s="22">
        <f t="shared" si="5"/>
        <v>0</v>
      </c>
      <c r="S17" s="23">
        <f t="shared" si="6"/>
        <v>0</v>
      </c>
      <c r="T17" s="22">
        <f t="shared" si="7"/>
        <v>0</v>
      </c>
      <c r="U17" s="24">
        <f t="shared" si="8"/>
        <v>0</v>
      </c>
      <c r="V17" s="56">
        <f t="shared" si="9"/>
        <v>0</v>
      </c>
      <c r="W17" s="57">
        <f t="shared" si="10"/>
        <v>0</v>
      </c>
    </row>
    <row r="18" spans="1:23" x14ac:dyDescent="0.3">
      <c r="A18" s="1">
        <v>13</v>
      </c>
      <c r="B18" s="3"/>
      <c r="C18" s="4"/>
      <c r="D18" s="6"/>
      <c r="E18" s="5"/>
      <c r="F18" s="2">
        <f t="shared" si="11"/>
        <v>0</v>
      </c>
      <c r="G18" s="4"/>
      <c r="H18" s="43"/>
      <c r="I18" s="14">
        <f t="shared" si="12"/>
        <v>0</v>
      </c>
      <c r="J18" s="28">
        <v>0.79</v>
      </c>
      <c r="K18" s="47">
        <f t="shared" si="0"/>
        <v>8.5611307727381028E-2</v>
      </c>
      <c r="L18" s="45">
        <v>0.06</v>
      </c>
      <c r="M18" s="45">
        <v>0.1</v>
      </c>
      <c r="N18" s="22">
        <f t="shared" si="1"/>
        <v>0</v>
      </c>
      <c r="O18" s="23">
        <f t="shared" si="2"/>
        <v>0</v>
      </c>
      <c r="P18" s="23">
        <f t="shared" si="3"/>
        <v>0</v>
      </c>
      <c r="Q18" s="23">
        <f t="shared" si="4"/>
        <v>0</v>
      </c>
      <c r="R18" s="22">
        <f t="shared" si="5"/>
        <v>0</v>
      </c>
      <c r="S18" s="23">
        <f t="shared" si="6"/>
        <v>0</v>
      </c>
      <c r="T18" s="22">
        <f t="shared" si="7"/>
        <v>0</v>
      </c>
      <c r="U18" s="24">
        <f t="shared" si="8"/>
        <v>0</v>
      </c>
      <c r="V18" s="56">
        <f t="shared" si="9"/>
        <v>0</v>
      </c>
      <c r="W18" s="57">
        <f t="shared" si="10"/>
        <v>0</v>
      </c>
    </row>
    <row r="19" spans="1:23" x14ac:dyDescent="0.3">
      <c r="A19" s="1">
        <v>14</v>
      </c>
      <c r="B19" s="3"/>
      <c r="C19" s="4"/>
      <c r="D19" s="6"/>
      <c r="E19" s="5"/>
      <c r="F19" s="2">
        <f t="shared" ref="F19:F44" si="14">ROUND(IF(D19=0,C19+C19*E19,C19+D19),-1)</f>
        <v>0</v>
      </c>
      <c r="G19" s="4"/>
      <c r="H19" s="43"/>
      <c r="I19" s="14">
        <f t="shared" ref="I19:I44" si="15">G19*H19</f>
        <v>0</v>
      </c>
      <c r="J19" s="28">
        <v>0.79</v>
      </c>
      <c r="K19" s="47">
        <f t="shared" ref="K19:K44" si="16">(1/J19-(1+L19+M19+L19*M19))/((1+L19+M19+L19*M19))</f>
        <v>8.5611307727381028E-2</v>
      </c>
      <c r="L19" s="45">
        <v>0.06</v>
      </c>
      <c r="M19" s="45">
        <v>0.1</v>
      </c>
      <c r="N19" s="22">
        <f t="shared" ref="N19:N44" si="17">F19*J19</f>
        <v>0</v>
      </c>
      <c r="O19" s="23">
        <f t="shared" ref="O19:O44" si="18">N19*$I19</f>
        <v>0</v>
      </c>
      <c r="P19" s="23">
        <f t="shared" si="3"/>
        <v>0</v>
      </c>
      <c r="Q19" s="23">
        <f t="shared" si="4"/>
        <v>0</v>
      </c>
      <c r="R19" s="22">
        <f t="shared" si="5"/>
        <v>0</v>
      </c>
      <c r="S19" s="23">
        <f t="shared" si="6"/>
        <v>0</v>
      </c>
      <c r="T19" s="22">
        <f t="shared" si="7"/>
        <v>0</v>
      </c>
      <c r="U19" s="24">
        <f t="shared" si="8"/>
        <v>0</v>
      </c>
      <c r="V19" s="56">
        <f>ROUND(N19+P19+R19+T19,0)</f>
        <v>0</v>
      </c>
      <c r="W19" s="57">
        <f t="shared" ref="W19:W44" si="19">ROUND(O19+Q19+S19+U19,0)</f>
        <v>0</v>
      </c>
    </row>
    <row r="20" spans="1:23" x14ac:dyDescent="0.3">
      <c r="A20" s="1">
        <v>15</v>
      </c>
      <c r="B20" s="3"/>
      <c r="C20" s="4"/>
      <c r="D20" s="6"/>
      <c r="E20" s="5"/>
      <c r="F20" s="2">
        <f t="shared" si="14"/>
        <v>0</v>
      </c>
      <c r="G20" s="4"/>
      <c r="H20" s="43"/>
      <c r="I20" s="14">
        <f t="shared" si="15"/>
        <v>0</v>
      </c>
      <c r="J20" s="28">
        <v>0.79</v>
      </c>
      <c r="K20" s="47">
        <f t="shared" si="16"/>
        <v>8.5611307727381028E-2</v>
      </c>
      <c r="L20" s="45">
        <v>0.06</v>
      </c>
      <c r="M20" s="45">
        <v>0.1</v>
      </c>
      <c r="N20" s="22">
        <f t="shared" si="17"/>
        <v>0</v>
      </c>
      <c r="O20" s="23">
        <f t="shared" si="18"/>
        <v>0</v>
      </c>
      <c r="P20" s="23">
        <f t="shared" si="3"/>
        <v>0</v>
      </c>
      <c r="Q20" s="23">
        <f t="shared" si="4"/>
        <v>0</v>
      </c>
      <c r="R20" s="22">
        <f t="shared" si="5"/>
        <v>0</v>
      </c>
      <c r="S20" s="23">
        <f t="shared" si="6"/>
        <v>0</v>
      </c>
      <c r="T20" s="22">
        <f t="shared" si="7"/>
        <v>0</v>
      </c>
      <c r="U20" s="24">
        <f t="shared" si="8"/>
        <v>0</v>
      </c>
      <c r="V20" s="56">
        <f>ROUND(N20+P20+R20+T20,0)</f>
        <v>0</v>
      </c>
      <c r="W20" s="57">
        <f t="shared" si="19"/>
        <v>0</v>
      </c>
    </row>
    <row r="21" spans="1:23" x14ac:dyDescent="0.3">
      <c r="A21" s="1">
        <v>16</v>
      </c>
      <c r="B21" s="3"/>
      <c r="C21" s="4"/>
      <c r="D21" s="6"/>
      <c r="E21" s="5"/>
      <c r="F21" s="2">
        <f t="shared" si="14"/>
        <v>0</v>
      </c>
      <c r="G21" s="4"/>
      <c r="H21" s="43"/>
      <c r="I21" s="14">
        <f t="shared" si="15"/>
        <v>0</v>
      </c>
      <c r="J21" s="28">
        <v>0.79</v>
      </c>
      <c r="K21" s="47">
        <f t="shared" si="16"/>
        <v>8.5611307727381028E-2</v>
      </c>
      <c r="L21" s="45">
        <v>0.06</v>
      </c>
      <c r="M21" s="45">
        <v>0.1</v>
      </c>
      <c r="N21" s="22">
        <f t="shared" si="17"/>
        <v>0</v>
      </c>
      <c r="O21" s="23">
        <f t="shared" si="18"/>
        <v>0</v>
      </c>
      <c r="P21" s="23">
        <f t="shared" si="3"/>
        <v>0</v>
      </c>
      <c r="Q21" s="23">
        <f t="shared" si="4"/>
        <v>0</v>
      </c>
      <c r="R21" s="22">
        <f t="shared" si="5"/>
        <v>0</v>
      </c>
      <c r="S21" s="23">
        <f t="shared" si="6"/>
        <v>0</v>
      </c>
      <c r="T21" s="22">
        <f t="shared" si="7"/>
        <v>0</v>
      </c>
      <c r="U21" s="24">
        <f t="shared" si="8"/>
        <v>0</v>
      </c>
      <c r="V21" s="56">
        <f>ROUND(N21+P21+R21+T21,0)</f>
        <v>0</v>
      </c>
      <c r="W21" s="57">
        <f t="shared" si="19"/>
        <v>0</v>
      </c>
    </row>
    <row r="22" spans="1:23" x14ac:dyDescent="0.3">
      <c r="A22" s="1">
        <v>17</v>
      </c>
      <c r="B22" s="3"/>
      <c r="C22" s="4"/>
      <c r="D22" s="6"/>
      <c r="E22" s="5"/>
      <c r="F22" s="2">
        <f t="shared" si="14"/>
        <v>0</v>
      </c>
      <c r="G22" s="4"/>
      <c r="H22" s="43"/>
      <c r="I22" s="14">
        <f t="shared" si="15"/>
        <v>0</v>
      </c>
      <c r="J22" s="28">
        <v>0.79</v>
      </c>
      <c r="K22" s="47">
        <f t="shared" si="16"/>
        <v>8.5611307727381028E-2</v>
      </c>
      <c r="L22" s="45">
        <v>0.06</v>
      </c>
      <c r="M22" s="45">
        <v>0.1</v>
      </c>
      <c r="N22" s="22">
        <f t="shared" si="17"/>
        <v>0</v>
      </c>
      <c r="O22" s="23">
        <f t="shared" si="18"/>
        <v>0</v>
      </c>
      <c r="P22" s="23">
        <f t="shared" si="3"/>
        <v>0</v>
      </c>
      <c r="Q22" s="23">
        <f t="shared" si="4"/>
        <v>0</v>
      </c>
      <c r="R22" s="22">
        <f t="shared" si="5"/>
        <v>0</v>
      </c>
      <c r="S22" s="23">
        <f t="shared" si="6"/>
        <v>0</v>
      </c>
      <c r="T22" s="22">
        <f t="shared" si="7"/>
        <v>0</v>
      </c>
      <c r="U22" s="24">
        <f t="shared" si="8"/>
        <v>0</v>
      </c>
      <c r="V22" s="56">
        <f>ROUND(N22+P22+R22+T22,0)</f>
        <v>0</v>
      </c>
      <c r="W22" s="57">
        <f t="shared" si="19"/>
        <v>0</v>
      </c>
    </row>
    <row r="23" spans="1:23" x14ac:dyDescent="0.3">
      <c r="A23" s="1">
        <v>18</v>
      </c>
      <c r="B23" s="3"/>
      <c r="C23" s="4"/>
      <c r="D23" s="6"/>
      <c r="E23" s="5"/>
      <c r="F23" s="2">
        <f t="shared" si="14"/>
        <v>0</v>
      </c>
      <c r="G23" s="4"/>
      <c r="H23" s="43"/>
      <c r="I23" s="14">
        <f t="shared" si="15"/>
        <v>0</v>
      </c>
      <c r="J23" s="28">
        <v>0.79</v>
      </c>
      <c r="K23" s="47">
        <f t="shared" si="16"/>
        <v>8.5611307727381028E-2</v>
      </c>
      <c r="L23" s="45">
        <v>0.06</v>
      </c>
      <c r="M23" s="45">
        <v>0.1</v>
      </c>
      <c r="N23" s="22">
        <f t="shared" si="17"/>
        <v>0</v>
      </c>
      <c r="O23" s="23">
        <f t="shared" si="18"/>
        <v>0</v>
      </c>
      <c r="P23" s="23">
        <f t="shared" si="3"/>
        <v>0</v>
      </c>
      <c r="Q23" s="23">
        <f t="shared" si="4"/>
        <v>0</v>
      </c>
      <c r="R23" s="22">
        <f t="shared" si="5"/>
        <v>0</v>
      </c>
      <c r="S23" s="23">
        <f t="shared" si="6"/>
        <v>0</v>
      </c>
      <c r="T23" s="22">
        <f t="shared" si="7"/>
        <v>0</v>
      </c>
      <c r="U23" s="24">
        <f t="shared" si="8"/>
        <v>0</v>
      </c>
      <c r="V23" s="56">
        <f>ROUND(N23+P23+R23+T23,0)</f>
        <v>0</v>
      </c>
      <c r="W23" s="57">
        <f t="shared" si="19"/>
        <v>0</v>
      </c>
    </row>
    <row r="24" spans="1:23" x14ac:dyDescent="0.3">
      <c r="A24" s="1">
        <v>19</v>
      </c>
      <c r="B24" s="3"/>
      <c r="C24" s="4"/>
      <c r="D24" s="6"/>
      <c r="E24" s="5"/>
      <c r="F24" s="2">
        <f t="shared" si="14"/>
        <v>0</v>
      </c>
      <c r="G24" s="4"/>
      <c r="H24" s="43"/>
      <c r="I24" s="14">
        <f t="shared" si="15"/>
        <v>0</v>
      </c>
      <c r="J24" s="28">
        <v>0.79</v>
      </c>
      <c r="K24" s="47">
        <f t="shared" si="16"/>
        <v>8.5611307727381028E-2</v>
      </c>
      <c r="L24" s="45">
        <v>0.06</v>
      </c>
      <c r="M24" s="45">
        <v>0.1</v>
      </c>
      <c r="N24" s="22">
        <f t="shared" si="17"/>
        <v>0</v>
      </c>
      <c r="O24" s="23">
        <f t="shared" si="18"/>
        <v>0</v>
      </c>
      <c r="P24" s="23">
        <f t="shared" ref="P24:P44" si="20">N24*K24</f>
        <v>0</v>
      </c>
      <c r="Q24" s="23">
        <f t="shared" ref="Q24:Q44" si="21">O24*K24</f>
        <v>0</v>
      </c>
      <c r="R24" s="22">
        <f t="shared" ref="R24:R44" si="22">(N24+P24)*L24</f>
        <v>0</v>
      </c>
      <c r="S24" s="23">
        <f t="shared" ref="S24:S44" si="23">(O24+Q24)*L24</f>
        <v>0</v>
      </c>
      <c r="T24" s="22">
        <f t="shared" ref="T24:T44" si="24">(N24+P24+R24)*M24</f>
        <v>0</v>
      </c>
      <c r="U24" s="24">
        <f t="shared" ref="U24:U44" si="25">(O24+Q24+S24)*M24</f>
        <v>0</v>
      </c>
      <c r="V24" s="56">
        <f t="shared" ref="V24:V44" si="26">ROUND(N24+P24+R24+T24,0)</f>
        <v>0</v>
      </c>
      <c r="W24" s="57">
        <f t="shared" si="19"/>
        <v>0</v>
      </c>
    </row>
    <row r="25" spans="1:23" x14ac:dyDescent="0.3">
      <c r="A25" s="1">
        <v>20</v>
      </c>
      <c r="B25" s="3"/>
      <c r="C25" s="4"/>
      <c r="D25" s="6"/>
      <c r="E25" s="5"/>
      <c r="F25" s="2">
        <f t="shared" si="14"/>
        <v>0</v>
      </c>
      <c r="G25" s="4"/>
      <c r="H25" s="43"/>
      <c r="I25" s="14">
        <f t="shared" si="15"/>
        <v>0</v>
      </c>
      <c r="J25" s="28">
        <v>0.79</v>
      </c>
      <c r="K25" s="47">
        <f t="shared" si="16"/>
        <v>8.5611307727381028E-2</v>
      </c>
      <c r="L25" s="45">
        <v>0.06</v>
      </c>
      <c r="M25" s="45">
        <v>0.1</v>
      </c>
      <c r="N25" s="22">
        <f t="shared" si="17"/>
        <v>0</v>
      </c>
      <c r="O25" s="23">
        <f t="shared" si="18"/>
        <v>0</v>
      </c>
      <c r="P25" s="23">
        <f t="shared" si="20"/>
        <v>0</v>
      </c>
      <c r="Q25" s="23">
        <f t="shared" si="21"/>
        <v>0</v>
      </c>
      <c r="R25" s="22">
        <f t="shared" si="22"/>
        <v>0</v>
      </c>
      <c r="S25" s="23">
        <f t="shared" si="23"/>
        <v>0</v>
      </c>
      <c r="T25" s="22">
        <f t="shared" si="24"/>
        <v>0</v>
      </c>
      <c r="U25" s="24">
        <f t="shared" si="25"/>
        <v>0</v>
      </c>
      <c r="V25" s="56">
        <f t="shared" si="26"/>
        <v>0</v>
      </c>
      <c r="W25" s="57">
        <f t="shared" si="19"/>
        <v>0</v>
      </c>
    </row>
    <row r="26" spans="1:23" x14ac:dyDescent="0.3">
      <c r="A26" s="1">
        <v>21</v>
      </c>
      <c r="B26" s="3"/>
      <c r="C26" s="4"/>
      <c r="D26" s="6"/>
      <c r="E26" s="5"/>
      <c r="F26" s="2">
        <f t="shared" si="14"/>
        <v>0</v>
      </c>
      <c r="G26" s="4"/>
      <c r="H26" s="43"/>
      <c r="I26" s="14">
        <f t="shared" si="15"/>
        <v>0</v>
      </c>
      <c r="J26" s="28">
        <v>0.79</v>
      </c>
      <c r="K26" s="47">
        <f t="shared" si="16"/>
        <v>8.5611307727381028E-2</v>
      </c>
      <c r="L26" s="45">
        <v>0.06</v>
      </c>
      <c r="M26" s="45">
        <v>0.1</v>
      </c>
      <c r="N26" s="22">
        <f t="shared" si="17"/>
        <v>0</v>
      </c>
      <c r="O26" s="23">
        <f t="shared" si="18"/>
        <v>0</v>
      </c>
      <c r="P26" s="23">
        <f t="shared" si="20"/>
        <v>0</v>
      </c>
      <c r="Q26" s="23">
        <f t="shared" si="21"/>
        <v>0</v>
      </c>
      <c r="R26" s="22">
        <f t="shared" si="22"/>
        <v>0</v>
      </c>
      <c r="S26" s="23">
        <f t="shared" si="23"/>
        <v>0</v>
      </c>
      <c r="T26" s="22">
        <f t="shared" si="24"/>
        <v>0</v>
      </c>
      <c r="U26" s="24">
        <f t="shared" si="25"/>
        <v>0</v>
      </c>
      <c r="V26" s="56">
        <f t="shared" si="26"/>
        <v>0</v>
      </c>
      <c r="W26" s="57">
        <f t="shared" si="19"/>
        <v>0</v>
      </c>
    </row>
    <row r="27" spans="1:23" x14ac:dyDescent="0.3">
      <c r="A27" s="1">
        <v>22</v>
      </c>
      <c r="B27" s="3"/>
      <c r="C27" s="4"/>
      <c r="D27" s="6"/>
      <c r="E27" s="5"/>
      <c r="F27" s="2">
        <f t="shared" si="14"/>
        <v>0</v>
      </c>
      <c r="G27" s="4"/>
      <c r="H27" s="43"/>
      <c r="I27" s="14">
        <f t="shared" si="15"/>
        <v>0</v>
      </c>
      <c r="J27" s="28">
        <v>0.79</v>
      </c>
      <c r="K27" s="47">
        <f t="shared" si="16"/>
        <v>8.5611307727381028E-2</v>
      </c>
      <c r="L27" s="45">
        <v>0.06</v>
      </c>
      <c r="M27" s="45">
        <v>0.1</v>
      </c>
      <c r="N27" s="22">
        <f t="shared" si="17"/>
        <v>0</v>
      </c>
      <c r="O27" s="23">
        <f t="shared" si="18"/>
        <v>0</v>
      </c>
      <c r="P27" s="23">
        <f t="shared" si="20"/>
        <v>0</v>
      </c>
      <c r="Q27" s="23">
        <f t="shared" si="21"/>
        <v>0</v>
      </c>
      <c r="R27" s="22">
        <f t="shared" si="22"/>
        <v>0</v>
      </c>
      <c r="S27" s="23">
        <f t="shared" si="23"/>
        <v>0</v>
      </c>
      <c r="T27" s="22">
        <f t="shared" si="24"/>
        <v>0</v>
      </c>
      <c r="U27" s="24">
        <f t="shared" si="25"/>
        <v>0</v>
      </c>
      <c r="V27" s="56">
        <f t="shared" si="26"/>
        <v>0</v>
      </c>
      <c r="W27" s="57">
        <f t="shared" si="19"/>
        <v>0</v>
      </c>
    </row>
    <row r="28" spans="1:23" x14ac:dyDescent="0.3">
      <c r="A28" s="1">
        <v>23</v>
      </c>
      <c r="B28" s="3"/>
      <c r="C28" s="4"/>
      <c r="D28" s="6"/>
      <c r="E28" s="5"/>
      <c r="F28" s="2">
        <f t="shared" si="14"/>
        <v>0</v>
      </c>
      <c r="G28" s="4"/>
      <c r="H28" s="43"/>
      <c r="I28" s="14">
        <f t="shared" si="15"/>
        <v>0</v>
      </c>
      <c r="J28" s="28">
        <v>0.79</v>
      </c>
      <c r="K28" s="47">
        <f t="shared" si="16"/>
        <v>8.5611307727381028E-2</v>
      </c>
      <c r="L28" s="45">
        <v>0.06</v>
      </c>
      <c r="M28" s="45">
        <v>0.1</v>
      </c>
      <c r="N28" s="22">
        <f t="shared" si="17"/>
        <v>0</v>
      </c>
      <c r="O28" s="23">
        <f t="shared" si="18"/>
        <v>0</v>
      </c>
      <c r="P28" s="23">
        <f t="shared" si="20"/>
        <v>0</v>
      </c>
      <c r="Q28" s="23">
        <f t="shared" si="21"/>
        <v>0</v>
      </c>
      <c r="R28" s="22">
        <f t="shared" si="22"/>
        <v>0</v>
      </c>
      <c r="S28" s="23">
        <f t="shared" si="23"/>
        <v>0</v>
      </c>
      <c r="T28" s="22">
        <f t="shared" si="24"/>
        <v>0</v>
      </c>
      <c r="U28" s="24">
        <f t="shared" si="25"/>
        <v>0</v>
      </c>
      <c r="V28" s="56">
        <f t="shared" si="26"/>
        <v>0</v>
      </c>
      <c r="W28" s="57">
        <f t="shared" si="19"/>
        <v>0</v>
      </c>
    </row>
    <row r="29" spans="1:23" x14ac:dyDescent="0.3">
      <c r="A29" s="1">
        <v>24</v>
      </c>
      <c r="B29" s="3"/>
      <c r="C29" s="4"/>
      <c r="D29" s="6"/>
      <c r="E29" s="5"/>
      <c r="F29" s="2">
        <f t="shared" si="14"/>
        <v>0</v>
      </c>
      <c r="G29" s="4"/>
      <c r="H29" s="43"/>
      <c r="I29" s="14">
        <f t="shared" si="15"/>
        <v>0</v>
      </c>
      <c r="J29" s="28">
        <v>0.79</v>
      </c>
      <c r="K29" s="47">
        <f t="shared" si="16"/>
        <v>8.5611307727381028E-2</v>
      </c>
      <c r="L29" s="45">
        <v>0.06</v>
      </c>
      <c r="M29" s="45">
        <v>0.1</v>
      </c>
      <c r="N29" s="22">
        <f t="shared" si="17"/>
        <v>0</v>
      </c>
      <c r="O29" s="23">
        <f t="shared" si="18"/>
        <v>0</v>
      </c>
      <c r="P29" s="23">
        <f t="shared" si="20"/>
        <v>0</v>
      </c>
      <c r="Q29" s="23">
        <f t="shared" si="21"/>
        <v>0</v>
      </c>
      <c r="R29" s="22">
        <f t="shared" si="22"/>
        <v>0</v>
      </c>
      <c r="S29" s="23">
        <f t="shared" si="23"/>
        <v>0</v>
      </c>
      <c r="T29" s="22">
        <f t="shared" si="24"/>
        <v>0</v>
      </c>
      <c r="U29" s="24">
        <f t="shared" si="25"/>
        <v>0</v>
      </c>
      <c r="V29" s="56">
        <f t="shared" si="26"/>
        <v>0</v>
      </c>
      <c r="W29" s="57">
        <f t="shared" si="19"/>
        <v>0</v>
      </c>
    </row>
    <row r="30" spans="1:23" x14ac:dyDescent="0.3">
      <c r="A30" s="1">
        <v>25</v>
      </c>
      <c r="B30" s="3"/>
      <c r="C30" s="4"/>
      <c r="D30" s="6"/>
      <c r="E30" s="5"/>
      <c r="F30" s="2">
        <f t="shared" si="14"/>
        <v>0</v>
      </c>
      <c r="G30" s="4"/>
      <c r="H30" s="43"/>
      <c r="I30" s="14">
        <f t="shared" si="15"/>
        <v>0</v>
      </c>
      <c r="J30" s="28">
        <v>0.79</v>
      </c>
      <c r="K30" s="47">
        <f t="shared" si="16"/>
        <v>8.5611307727381028E-2</v>
      </c>
      <c r="L30" s="45">
        <v>0.06</v>
      </c>
      <c r="M30" s="45">
        <v>0.1</v>
      </c>
      <c r="N30" s="22">
        <f t="shared" si="17"/>
        <v>0</v>
      </c>
      <c r="O30" s="23">
        <f t="shared" si="18"/>
        <v>0</v>
      </c>
      <c r="P30" s="23">
        <f t="shared" si="20"/>
        <v>0</v>
      </c>
      <c r="Q30" s="23">
        <f t="shared" si="21"/>
        <v>0</v>
      </c>
      <c r="R30" s="22">
        <f t="shared" si="22"/>
        <v>0</v>
      </c>
      <c r="S30" s="23">
        <f t="shared" si="23"/>
        <v>0</v>
      </c>
      <c r="T30" s="22">
        <f t="shared" si="24"/>
        <v>0</v>
      </c>
      <c r="U30" s="24">
        <f t="shared" si="25"/>
        <v>0</v>
      </c>
      <c r="V30" s="56">
        <f t="shared" si="26"/>
        <v>0</v>
      </c>
      <c r="W30" s="57">
        <f t="shared" si="19"/>
        <v>0</v>
      </c>
    </row>
    <row r="31" spans="1:23" x14ac:dyDescent="0.3">
      <c r="A31" s="1">
        <v>26</v>
      </c>
      <c r="B31" s="3"/>
      <c r="C31" s="4"/>
      <c r="D31" s="6"/>
      <c r="E31" s="5"/>
      <c r="F31" s="2">
        <f t="shared" si="14"/>
        <v>0</v>
      </c>
      <c r="G31" s="4"/>
      <c r="H31" s="43"/>
      <c r="I31" s="14">
        <f t="shared" si="15"/>
        <v>0</v>
      </c>
      <c r="J31" s="28">
        <v>0.79</v>
      </c>
      <c r="K31" s="47">
        <f t="shared" si="16"/>
        <v>8.5611307727381028E-2</v>
      </c>
      <c r="L31" s="45">
        <v>0.06</v>
      </c>
      <c r="M31" s="45">
        <v>0.1</v>
      </c>
      <c r="N31" s="22">
        <f t="shared" si="17"/>
        <v>0</v>
      </c>
      <c r="O31" s="23">
        <f t="shared" si="18"/>
        <v>0</v>
      </c>
      <c r="P31" s="23">
        <f t="shared" si="20"/>
        <v>0</v>
      </c>
      <c r="Q31" s="23">
        <f t="shared" si="21"/>
        <v>0</v>
      </c>
      <c r="R31" s="22">
        <f t="shared" si="22"/>
        <v>0</v>
      </c>
      <c r="S31" s="23">
        <f t="shared" si="23"/>
        <v>0</v>
      </c>
      <c r="T31" s="22">
        <f t="shared" si="24"/>
        <v>0</v>
      </c>
      <c r="U31" s="24">
        <f t="shared" si="25"/>
        <v>0</v>
      </c>
      <c r="V31" s="56">
        <f t="shared" si="26"/>
        <v>0</v>
      </c>
      <c r="W31" s="57">
        <f t="shared" si="19"/>
        <v>0</v>
      </c>
    </row>
    <row r="32" spans="1:23" x14ac:dyDescent="0.3">
      <c r="A32" s="1">
        <v>27</v>
      </c>
      <c r="B32" s="3"/>
      <c r="C32" s="4"/>
      <c r="D32" s="6"/>
      <c r="E32" s="5"/>
      <c r="F32" s="2">
        <f t="shared" si="14"/>
        <v>0</v>
      </c>
      <c r="G32" s="4"/>
      <c r="H32" s="43"/>
      <c r="I32" s="14">
        <f t="shared" si="15"/>
        <v>0</v>
      </c>
      <c r="J32" s="28">
        <v>0.79</v>
      </c>
      <c r="K32" s="47">
        <f t="shared" si="16"/>
        <v>8.5611307727381028E-2</v>
      </c>
      <c r="L32" s="45">
        <v>0.06</v>
      </c>
      <c r="M32" s="45">
        <v>0.1</v>
      </c>
      <c r="N32" s="22">
        <f t="shared" si="17"/>
        <v>0</v>
      </c>
      <c r="O32" s="23">
        <f t="shared" si="18"/>
        <v>0</v>
      </c>
      <c r="P32" s="23">
        <f t="shared" si="20"/>
        <v>0</v>
      </c>
      <c r="Q32" s="23">
        <f t="shared" si="21"/>
        <v>0</v>
      </c>
      <c r="R32" s="22">
        <f t="shared" si="22"/>
        <v>0</v>
      </c>
      <c r="S32" s="23">
        <f t="shared" si="23"/>
        <v>0</v>
      </c>
      <c r="T32" s="22">
        <f t="shared" si="24"/>
        <v>0</v>
      </c>
      <c r="U32" s="24">
        <f t="shared" si="25"/>
        <v>0</v>
      </c>
      <c r="V32" s="56">
        <f t="shared" si="26"/>
        <v>0</v>
      </c>
      <c r="W32" s="57">
        <f t="shared" si="19"/>
        <v>0</v>
      </c>
    </row>
    <row r="33" spans="1:23" x14ac:dyDescent="0.3">
      <c r="A33" s="1">
        <v>28</v>
      </c>
      <c r="B33" s="3"/>
      <c r="C33" s="4"/>
      <c r="D33" s="6"/>
      <c r="E33" s="5"/>
      <c r="F33" s="2">
        <f t="shared" si="14"/>
        <v>0</v>
      </c>
      <c r="G33" s="4"/>
      <c r="H33" s="43"/>
      <c r="I33" s="14">
        <f t="shared" si="15"/>
        <v>0</v>
      </c>
      <c r="J33" s="28">
        <v>0.79</v>
      </c>
      <c r="K33" s="47">
        <f t="shared" si="16"/>
        <v>8.5611307727381028E-2</v>
      </c>
      <c r="L33" s="45">
        <v>0.06</v>
      </c>
      <c r="M33" s="45">
        <v>0.1</v>
      </c>
      <c r="N33" s="22">
        <f t="shared" si="17"/>
        <v>0</v>
      </c>
      <c r="O33" s="23">
        <f t="shared" si="18"/>
        <v>0</v>
      </c>
      <c r="P33" s="23">
        <f t="shared" si="20"/>
        <v>0</v>
      </c>
      <c r="Q33" s="23">
        <f t="shared" si="21"/>
        <v>0</v>
      </c>
      <c r="R33" s="22">
        <f t="shared" si="22"/>
        <v>0</v>
      </c>
      <c r="S33" s="23">
        <f t="shared" si="23"/>
        <v>0</v>
      </c>
      <c r="T33" s="22">
        <f t="shared" si="24"/>
        <v>0</v>
      </c>
      <c r="U33" s="24">
        <f t="shared" si="25"/>
        <v>0</v>
      </c>
      <c r="V33" s="56">
        <f t="shared" si="26"/>
        <v>0</v>
      </c>
      <c r="W33" s="57">
        <f t="shared" si="19"/>
        <v>0</v>
      </c>
    </row>
    <row r="34" spans="1:23" x14ac:dyDescent="0.3">
      <c r="A34" s="1">
        <v>29</v>
      </c>
      <c r="B34" s="3"/>
      <c r="C34" s="4"/>
      <c r="D34" s="6"/>
      <c r="E34" s="5"/>
      <c r="F34" s="2">
        <f t="shared" si="14"/>
        <v>0</v>
      </c>
      <c r="G34" s="4"/>
      <c r="H34" s="43"/>
      <c r="I34" s="14">
        <f t="shared" si="15"/>
        <v>0</v>
      </c>
      <c r="J34" s="28">
        <v>0.79</v>
      </c>
      <c r="K34" s="47">
        <f t="shared" si="16"/>
        <v>8.5611307727381028E-2</v>
      </c>
      <c r="L34" s="45">
        <v>0.06</v>
      </c>
      <c r="M34" s="45">
        <v>0.1</v>
      </c>
      <c r="N34" s="22">
        <f t="shared" si="17"/>
        <v>0</v>
      </c>
      <c r="O34" s="23">
        <f t="shared" si="18"/>
        <v>0</v>
      </c>
      <c r="P34" s="23">
        <f t="shared" si="20"/>
        <v>0</v>
      </c>
      <c r="Q34" s="23">
        <f t="shared" si="21"/>
        <v>0</v>
      </c>
      <c r="R34" s="22">
        <f t="shared" si="22"/>
        <v>0</v>
      </c>
      <c r="S34" s="23">
        <f t="shared" si="23"/>
        <v>0</v>
      </c>
      <c r="T34" s="22">
        <f t="shared" si="24"/>
        <v>0</v>
      </c>
      <c r="U34" s="24">
        <f t="shared" si="25"/>
        <v>0</v>
      </c>
      <c r="V34" s="56">
        <f t="shared" si="26"/>
        <v>0</v>
      </c>
      <c r="W34" s="57">
        <f t="shared" si="19"/>
        <v>0</v>
      </c>
    </row>
    <row r="35" spans="1:23" x14ac:dyDescent="0.3">
      <c r="A35" s="1">
        <v>30</v>
      </c>
      <c r="B35" s="3"/>
      <c r="C35" s="4"/>
      <c r="D35" s="6"/>
      <c r="E35" s="5"/>
      <c r="F35" s="2">
        <f t="shared" si="14"/>
        <v>0</v>
      </c>
      <c r="G35" s="4"/>
      <c r="H35" s="43"/>
      <c r="I35" s="14">
        <f t="shared" si="15"/>
        <v>0</v>
      </c>
      <c r="J35" s="28">
        <v>0.79</v>
      </c>
      <c r="K35" s="47">
        <f t="shared" si="16"/>
        <v>8.5611307727381028E-2</v>
      </c>
      <c r="L35" s="45">
        <v>0.06</v>
      </c>
      <c r="M35" s="45">
        <v>0.1</v>
      </c>
      <c r="N35" s="22">
        <f t="shared" si="17"/>
        <v>0</v>
      </c>
      <c r="O35" s="23">
        <f t="shared" si="18"/>
        <v>0</v>
      </c>
      <c r="P35" s="23">
        <f t="shared" si="20"/>
        <v>0</v>
      </c>
      <c r="Q35" s="23">
        <f t="shared" si="21"/>
        <v>0</v>
      </c>
      <c r="R35" s="22">
        <f t="shared" si="22"/>
        <v>0</v>
      </c>
      <c r="S35" s="23">
        <f t="shared" si="23"/>
        <v>0</v>
      </c>
      <c r="T35" s="22">
        <f t="shared" si="24"/>
        <v>0</v>
      </c>
      <c r="U35" s="24">
        <f t="shared" si="25"/>
        <v>0</v>
      </c>
      <c r="V35" s="56">
        <f t="shared" si="26"/>
        <v>0</v>
      </c>
      <c r="W35" s="57">
        <f t="shared" si="19"/>
        <v>0</v>
      </c>
    </row>
    <row r="36" spans="1:23" x14ac:dyDescent="0.3">
      <c r="A36" s="1">
        <v>31</v>
      </c>
      <c r="B36" s="3"/>
      <c r="C36" s="4"/>
      <c r="D36" s="6"/>
      <c r="E36" s="5"/>
      <c r="F36" s="2">
        <f t="shared" si="14"/>
        <v>0</v>
      </c>
      <c r="G36" s="4"/>
      <c r="H36" s="43"/>
      <c r="I36" s="14">
        <f t="shared" si="15"/>
        <v>0</v>
      </c>
      <c r="J36" s="28">
        <v>0.79</v>
      </c>
      <c r="K36" s="47">
        <f t="shared" si="16"/>
        <v>8.5611307727381028E-2</v>
      </c>
      <c r="L36" s="45">
        <v>0.06</v>
      </c>
      <c r="M36" s="45">
        <v>0.1</v>
      </c>
      <c r="N36" s="22">
        <f t="shared" si="17"/>
        <v>0</v>
      </c>
      <c r="O36" s="23">
        <f t="shared" si="18"/>
        <v>0</v>
      </c>
      <c r="P36" s="23">
        <f t="shared" si="20"/>
        <v>0</v>
      </c>
      <c r="Q36" s="23">
        <f t="shared" si="21"/>
        <v>0</v>
      </c>
      <c r="R36" s="22">
        <f t="shared" si="22"/>
        <v>0</v>
      </c>
      <c r="S36" s="23">
        <f t="shared" si="23"/>
        <v>0</v>
      </c>
      <c r="T36" s="22">
        <f t="shared" si="24"/>
        <v>0</v>
      </c>
      <c r="U36" s="24">
        <f t="shared" si="25"/>
        <v>0</v>
      </c>
      <c r="V36" s="56">
        <f t="shared" si="26"/>
        <v>0</v>
      </c>
      <c r="W36" s="57">
        <f t="shared" si="19"/>
        <v>0</v>
      </c>
    </row>
    <row r="37" spans="1:23" x14ac:dyDescent="0.3">
      <c r="A37" s="1">
        <v>32</v>
      </c>
      <c r="B37" s="3"/>
      <c r="C37" s="4"/>
      <c r="D37" s="6"/>
      <c r="E37" s="5"/>
      <c r="F37" s="2">
        <f t="shared" si="14"/>
        <v>0</v>
      </c>
      <c r="G37" s="4"/>
      <c r="H37" s="43"/>
      <c r="I37" s="14">
        <f t="shared" si="15"/>
        <v>0</v>
      </c>
      <c r="J37" s="28">
        <v>0.79</v>
      </c>
      <c r="K37" s="47">
        <f t="shared" si="16"/>
        <v>8.5611307727381028E-2</v>
      </c>
      <c r="L37" s="45">
        <v>0.06</v>
      </c>
      <c r="M37" s="45">
        <v>0.1</v>
      </c>
      <c r="N37" s="22">
        <f t="shared" si="17"/>
        <v>0</v>
      </c>
      <c r="O37" s="23">
        <f t="shared" si="18"/>
        <v>0</v>
      </c>
      <c r="P37" s="23">
        <f t="shared" si="20"/>
        <v>0</v>
      </c>
      <c r="Q37" s="23">
        <f t="shared" si="21"/>
        <v>0</v>
      </c>
      <c r="R37" s="22">
        <f t="shared" si="22"/>
        <v>0</v>
      </c>
      <c r="S37" s="23">
        <f t="shared" si="23"/>
        <v>0</v>
      </c>
      <c r="T37" s="22">
        <f t="shared" si="24"/>
        <v>0</v>
      </c>
      <c r="U37" s="24">
        <f t="shared" si="25"/>
        <v>0</v>
      </c>
      <c r="V37" s="56">
        <f t="shared" si="26"/>
        <v>0</v>
      </c>
      <c r="W37" s="57">
        <f t="shared" si="19"/>
        <v>0</v>
      </c>
    </row>
    <row r="38" spans="1:23" x14ac:dyDescent="0.3">
      <c r="A38" s="1">
        <v>33</v>
      </c>
      <c r="B38" s="3"/>
      <c r="C38" s="4"/>
      <c r="D38" s="6"/>
      <c r="E38" s="5"/>
      <c r="F38" s="2">
        <f t="shared" si="14"/>
        <v>0</v>
      </c>
      <c r="G38" s="4"/>
      <c r="H38" s="43"/>
      <c r="I38" s="14">
        <f t="shared" si="15"/>
        <v>0</v>
      </c>
      <c r="J38" s="28">
        <v>0.79</v>
      </c>
      <c r="K38" s="47">
        <f t="shared" si="16"/>
        <v>8.5611307727381028E-2</v>
      </c>
      <c r="L38" s="45">
        <v>0.06</v>
      </c>
      <c r="M38" s="45">
        <v>0.1</v>
      </c>
      <c r="N38" s="22">
        <f t="shared" si="17"/>
        <v>0</v>
      </c>
      <c r="O38" s="23">
        <f t="shared" si="18"/>
        <v>0</v>
      </c>
      <c r="P38" s="23">
        <f t="shared" si="20"/>
        <v>0</v>
      </c>
      <c r="Q38" s="23">
        <f t="shared" si="21"/>
        <v>0</v>
      </c>
      <c r="R38" s="22">
        <f t="shared" si="22"/>
        <v>0</v>
      </c>
      <c r="S38" s="23">
        <f t="shared" si="23"/>
        <v>0</v>
      </c>
      <c r="T38" s="22">
        <f t="shared" si="24"/>
        <v>0</v>
      </c>
      <c r="U38" s="24">
        <f t="shared" si="25"/>
        <v>0</v>
      </c>
      <c r="V38" s="56">
        <f t="shared" si="26"/>
        <v>0</v>
      </c>
      <c r="W38" s="57">
        <f t="shared" si="19"/>
        <v>0</v>
      </c>
    </row>
    <row r="39" spans="1:23" x14ac:dyDescent="0.3">
      <c r="A39" s="1">
        <v>34</v>
      </c>
      <c r="B39" s="3"/>
      <c r="C39" s="4"/>
      <c r="D39" s="6"/>
      <c r="E39" s="5"/>
      <c r="F39" s="2">
        <f t="shared" si="14"/>
        <v>0</v>
      </c>
      <c r="G39" s="4"/>
      <c r="H39" s="43"/>
      <c r="I39" s="14">
        <f t="shared" si="15"/>
        <v>0</v>
      </c>
      <c r="J39" s="28">
        <v>0.79</v>
      </c>
      <c r="K39" s="47">
        <f t="shared" si="16"/>
        <v>8.5611307727381028E-2</v>
      </c>
      <c r="L39" s="45">
        <v>0.06</v>
      </c>
      <c r="M39" s="45">
        <v>0.1</v>
      </c>
      <c r="N39" s="22">
        <f t="shared" si="17"/>
        <v>0</v>
      </c>
      <c r="O39" s="23">
        <f t="shared" si="18"/>
        <v>0</v>
      </c>
      <c r="P39" s="23">
        <f t="shared" si="20"/>
        <v>0</v>
      </c>
      <c r="Q39" s="23">
        <f t="shared" si="21"/>
        <v>0</v>
      </c>
      <c r="R39" s="22">
        <f t="shared" si="22"/>
        <v>0</v>
      </c>
      <c r="S39" s="23">
        <f t="shared" si="23"/>
        <v>0</v>
      </c>
      <c r="T39" s="22">
        <f t="shared" si="24"/>
        <v>0</v>
      </c>
      <c r="U39" s="24">
        <f t="shared" si="25"/>
        <v>0</v>
      </c>
      <c r="V39" s="56">
        <f t="shared" si="26"/>
        <v>0</v>
      </c>
      <c r="W39" s="57">
        <f t="shared" si="19"/>
        <v>0</v>
      </c>
    </row>
    <row r="40" spans="1:23" x14ac:dyDescent="0.3">
      <c r="A40" s="1">
        <v>35</v>
      </c>
      <c r="B40" s="3"/>
      <c r="C40" s="4"/>
      <c r="D40" s="6"/>
      <c r="E40" s="5"/>
      <c r="F40" s="2">
        <f t="shared" si="14"/>
        <v>0</v>
      </c>
      <c r="G40" s="4"/>
      <c r="H40" s="43"/>
      <c r="I40" s="14">
        <f t="shared" si="15"/>
        <v>0</v>
      </c>
      <c r="J40" s="28">
        <v>0.79</v>
      </c>
      <c r="K40" s="47">
        <f t="shared" si="16"/>
        <v>8.5611307727381028E-2</v>
      </c>
      <c r="L40" s="45">
        <v>0.06</v>
      </c>
      <c r="M40" s="45">
        <v>0.1</v>
      </c>
      <c r="N40" s="22">
        <f t="shared" si="17"/>
        <v>0</v>
      </c>
      <c r="O40" s="23">
        <f t="shared" si="18"/>
        <v>0</v>
      </c>
      <c r="P40" s="23">
        <f t="shared" si="20"/>
        <v>0</v>
      </c>
      <c r="Q40" s="23">
        <f t="shared" si="21"/>
        <v>0</v>
      </c>
      <c r="R40" s="22">
        <f t="shared" si="22"/>
        <v>0</v>
      </c>
      <c r="S40" s="23">
        <f t="shared" si="23"/>
        <v>0</v>
      </c>
      <c r="T40" s="22">
        <f t="shared" si="24"/>
        <v>0</v>
      </c>
      <c r="U40" s="24">
        <f t="shared" si="25"/>
        <v>0</v>
      </c>
      <c r="V40" s="56">
        <f t="shared" si="26"/>
        <v>0</v>
      </c>
      <c r="W40" s="57">
        <f t="shared" si="19"/>
        <v>0</v>
      </c>
    </row>
    <row r="41" spans="1:23" x14ac:dyDescent="0.3">
      <c r="A41" s="1">
        <v>36</v>
      </c>
      <c r="B41" s="3"/>
      <c r="C41" s="4"/>
      <c r="D41" s="6"/>
      <c r="E41" s="5"/>
      <c r="F41" s="2">
        <f t="shared" si="14"/>
        <v>0</v>
      </c>
      <c r="G41" s="4"/>
      <c r="H41" s="43"/>
      <c r="I41" s="14">
        <f t="shared" si="15"/>
        <v>0</v>
      </c>
      <c r="J41" s="28">
        <v>0.79</v>
      </c>
      <c r="K41" s="47">
        <f t="shared" si="16"/>
        <v>8.5611307727381028E-2</v>
      </c>
      <c r="L41" s="45">
        <v>0.06</v>
      </c>
      <c r="M41" s="45">
        <v>0.1</v>
      </c>
      <c r="N41" s="22">
        <f t="shared" si="17"/>
        <v>0</v>
      </c>
      <c r="O41" s="23">
        <f t="shared" si="18"/>
        <v>0</v>
      </c>
      <c r="P41" s="23">
        <f t="shared" si="20"/>
        <v>0</v>
      </c>
      <c r="Q41" s="23">
        <f t="shared" si="21"/>
        <v>0</v>
      </c>
      <c r="R41" s="22">
        <f t="shared" si="22"/>
        <v>0</v>
      </c>
      <c r="S41" s="23">
        <f t="shared" si="23"/>
        <v>0</v>
      </c>
      <c r="T41" s="22">
        <f t="shared" si="24"/>
        <v>0</v>
      </c>
      <c r="U41" s="24">
        <f t="shared" si="25"/>
        <v>0</v>
      </c>
      <c r="V41" s="56">
        <f t="shared" si="26"/>
        <v>0</v>
      </c>
      <c r="W41" s="57">
        <f t="shared" si="19"/>
        <v>0</v>
      </c>
    </row>
    <row r="42" spans="1:23" x14ac:dyDescent="0.3">
      <c r="A42" s="1">
        <v>37</v>
      </c>
      <c r="B42" s="3"/>
      <c r="C42" s="4"/>
      <c r="D42" s="6"/>
      <c r="E42" s="5"/>
      <c r="F42" s="2">
        <f t="shared" si="14"/>
        <v>0</v>
      </c>
      <c r="G42" s="4"/>
      <c r="H42" s="43"/>
      <c r="I42" s="14">
        <f t="shared" si="15"/>
        <v>0</v>
      </c>
      <c r="J42" s="28">
        <v>0.79</v>
      </c>
      <c r="K42" s="47">
        <f t="shared" si="16"/>
        <v>8.5611307727381028E-2</v>
      </c>
      <c r="L42" s="45">
        <v>0.06</v>
      </c>
      <c r="M42" s="45">
        <v>0.1</v>
      </c>
      <c r="N42" s="22">
        <f t="shared" si="17"/>
        <v>0</v>
      </c>
      <c r="O42" s="23">
        <f t="shared" si="18"/>
        <v>0</v>
      </c>
      <c r="P42" s="23">
        <f t="shared" si="20"/>
        <v>0</v>
      </c>
      <c r="Q42" s="23">
        <f t="shared" si="21"/>
        <v>0</v>
      </c>
      <c r="R42" s="22">
        <f t="shared" si="22"/>
        <v>0</v>
      </c>
      <c r="S42" s="23">
        <f t="shared" si="23"/>
        <v>0</v>
      </c>
      <c r="T42" s="22">
        <f t="shared" si="24"/>
        <v>0</v>
      </c>
      <c r="U42" s="24">
        <f t="shared" si="25"/>
        <v>0</v>
      </c>
      <c r="V42" s="56">
        <f t="shared" si="26"/>
        <v>0</v>
      </c>
      <c r="W42" s="57">
        <f t="shared" si="19"/>
        <v>0</v>
      </c>
    </row>
    <row r="43" spans="1:23" x14ac:dyDescent="0.3">
      <c r="A43" s="1">
        <v>38</v>
      </c>
      <c r="B43" s="3"/>
      <c r="C43" s="4"/>
      <c r="D43" s="6"/>
      <c r="E43" s="5"/>
      <c r="F43" s="2">
        <f t="shared" si="14"/>
        <v>0</v>
      </c>
      <c r="G43" s="4"/>
      <c r="H43" s="43"/>
      <c r="I43" s="14">
        <f t="shared" si="15"/>
        <v>0</v>
      </c>
      <c r="J43" s="28">
        <v>0.79</v>
      </c>
      <c r="K43" s="47">
        <f t="shared" si="16"/>
        <v>8.5611307727381028E-2</v>
      </c>
      <c r="L43" s="45">
        <v>0.06</v>
      </c>
      <c r="M43" s="45">
        <v>0.1</v>
      </c>
      <c r="N43" s="22">
        <f t="shared" si="17"/>
        <v>0</v>
      </c>
      <c r="O43" s="23">
        <f t="shared" si="18"/>
        <v>0</v>
      </c>
      <c r="P43" s="23">
        <f t="shared" si="20"/>
        <v>0</v>
      </c>
      <c r="Q43" s="23">
        <f t="shared" si="21"/>
        <v>0</v>
      </c>
      <c r="R43" s="22">
        <f t="shared" si="22"/>
        <v>0</v>
      </c>
      <c r="S43" s="23">
        <f t="shared" si="23"/>
        <v>0</v>
      </c>
      <c r="T43" s="22">
        <f t="shared" si="24"/>
        <v>0</v>
      </c>
      <c r="U43" s="24">
        <f t="shared" si="25"/>
        <v>0</v>
      </c>
      <c r="V43" s="56">
        <f t="shared" si="26"/>
        <v>0</v>
      </c>
      <c r="W43" s="57">
        <f t="shared" si="19"/>
        <v>0</v>
      </c>
    </row>
    <row r="44" spans="1:23" x14ac:dyDescent="0.3">
      <c r="A44" s="1">
        <v>39</v>
      </c>
      <c r="B44" s="3"/>
      <c r="C44" s="4"/>
      <c r="D44" s="6"/>
      <c r="E44" s="5"/>
      <c r="F44" s="2">
        <f t="shared" si="14"/>
        <v>0</v>
      </c>
      <c r="G44" s="4"/>
      <c r="H44" s="43"/>
      <c r="I44" s="14">
        <f t="shared" si="15"/>
        <v>0</v>
      </c>
      <c r="J44" s="28">
        <v>0.79</v>
      </c>
      <c r="K44" s="47">
        <f t="shared" si="16"/>
        <v>8.5611307727381028E-2</v>
      </c>
      <c r="L44" s="45">
        <v>0.06</v>
      </c>
      <c r="M44" s="45">
        <v>0.1</v>
      </c>
      <c r="N44" s="22">
        <f t="shared" si="17"/>
        <v>0</v>
      </c>
      <c r="O44" s="23">
        <f t="shared" si="18"/>
        <v>0</v>
      </c>
      <c r="P44" s="23">
        <f t="shared" si="20"/>
        <v>0</v>
      </c>
      <c r="Q44" s="23">
        <f t="shared" si="21"/>
        <v>0</v>
      </c>
      <c r="R44" s="22">
        <f t="shared" si="22"/>
        <v>0</v>
      </c>
      <c r="S44" s="23">
        <f t="shared" si="23"/>
        <v>0</v>
      </c>
      <c r="T44" s="22">
        <f t="shared" si="24"/>
        <v>0</v>
      </c>
      <c r="U44" s="24">
        <f t="shared" si="25"/>
        <v>0</v>
      </c>
      <c r="V44" s="56">
        <f t="shared" si="26"/>
        <v>0</v>
      </c>
      <c r="W44" s="57">
        <f t="shared" si="19"/>
        <v>0</v>
      </c>
    </row>
    <row r="45" spans="1:23" x14ac:dyDescent="0.3">
      <c r="A45" s="1">
        <v>40</v>
      </c>
      <c r="B45" s="3"/>
      <c r="C45" s="4"/>
      <c r="D45" s="6"/>
      <c r="E45" s="5"/>
      <c r="F45" s="2">
        <f t="shared" si="11"/>
        <v>0</v>
      </c>
      <c r="G45" s="4"/>
      <c r="H45" s="43"/>
      <c r="I45" s="14">
        <f t="shared" si="12"/>
        <v>0</v>
      </c>
      <c r="J45" s="28">
        <v>0.79</v>
      </c>
      <c r="K45" s="47">
        <f t="shared" ref="K45:K65" si="27">(1/J45-(1+L45+M45+L45*M45))/((1+L45+M45+L45*M45))</f>
        <v>8.5611307727381028E-2</v>
      </c>
      <c r="L45" s="45">
        <v>0.06</v>
      </c>
      <c r="M45" s="45">
        <v>0.1</v>
      </c>
      <c r="N45" s="22">
        <f t="shared" ref="N45:N65" si="28">F45*J45</f>
        <v>0</v>
      </c>
      <c r="O45" s="23">
        <f t="shared" ref="O45:O65" si="29">N45*$I45</f>
        <v>0</v>
      </c>
      <c r="P45" s="23">
        <f t="shared" ref="P45:P65" si="30">N45*K45</f>
        <v>0</v>
      </c>
      <c r="Q45" s="23">
        <f t="shared" ref="Q45:Q65" si="31">O45*K45</f>
        <v>0</v>
      </c>
      <c r="R45" s="22">
        <f t="shared" ref="R45:R65" si="32">(N45+P45)*L45</f>
        <v>0</v>
      </c>
      <c r="S45" s="23">
        <f t="shared" ref="S45:S65" si="33">(O45+Q45)*L45</f>
        <v>0</v>
      </c>
      <c r="T45" s="22">
        <f t="shared" ref="T45:T65" si="34">(N45+P45+R45)*M45</f>
        <v>0</v>
      </c>
      <c r="U45" s="24">
        <f t="shared" ref="U45:U65" si="35">(O45+Q45+S45)*M45</f>
        <v>0</v>
      </c>
      <c r="V45" s="56">
        <f t="shared" ref="V45:V65" si="36">ROUND(N45+P45+R45+T45,0)</f>
        <v>0</v>
      </c>
      <c r="W45" s="57">
        <f t="shared" ref="W45:W65" si="37">ROUND(O45+Q45+S45+U45,0)</f>
        <v>0</v>
      </c>
    </row>
    <row r="46" spans="1:23" x14ac:dyDescent="0.3">
      <c r="A46" s="1">
        <v>41</v>
      </c>
      <c r="B46" s="3"/>
      <c r="C46" s="4"/>
      <c r="D46" s="6"/>
      <c r="E46" s="5"/>
      <c r="F46" s="2">
        <f t="shared" si="11"/>
        <v>0</v>
      </c>
      <c r="G46" s="4"/>
      <c r="H46" s="43"/>
      <c r="I46" s="14">
        <f t="shared" si="12"/>
        <v>0</v>
      </c>
      <c r="J46" s="28">
        <v>0.79</v>
      </c>
      <c r="K46" s="47">
        <f t="shared" si="27"/>
        <v>8.5611307727381028E-2</v>
      </c>
      <c r="L46" s="45">
        <v>0.06</v>
      </c>
      <c r="M46" s="45">
        <v>0.1</v>
      </c>
      <c r="N46" s="22">
        <f t="shared" si="28"/>
        <v>0</v>
      </c>
      <c r="O46" s="23">
        <f t="shared" si="29"/>
        <v>0</v>
      </c>
      <c r="P46" s="23">
        <f t="shared" si="30"/>
        <v>0</v>
      </c>
      <c r="Q46" s="23">
        <f t="shared" si="31"/>
        <v>0</v>
      </c>
      <c r="R46" s="22">
        <f t="shared" si="32"/>
        <v>0</v>
      </c>
      <c r="S46" s="23">
        <f t="shared" si="33"/>
        <v>0</v>
      </c>
      <c r="T46" s="22">
        <f t="shared" si="34"/>
        <v>0</v>
      </c>
      <c r="U46" s="24">
        <f t="shared" si="35"/>
        <v>0</v>
      </c>
      <c r="V46" s="56">
        <f t="shared" si="36"/>
        <v>0</v>
      </c>
      <c r="W46" s="57">
        <f t="shared" si="37"/>
        <v>0</v>
      </c>
    </row>
    <row r="47" spans="1:23" x14ac:dyDescent="0.3">
      <c r="A47" s="1">
        <v>42</v>
      </c>
      <c r="B47" s="3"/>
      <c r="C47" s="4"/>
      <c r="D47" s="6"/>
      <c r="E47" s="5"/>
      <c r="F47" s="2">
        <f t="shared" si="11"/>
        <v>0</v>
      </c>
      <c r="G47" s="4"/>
      <c r="H47" s="43"/>
      <c r="I47" s="14">
        <f t="shared" si="12"/>
        <v>0</v>
      </c>
      <c r="J47" s="28">
        <v>0.79</v>
      </c>
      <c r="K47" s="47">
        <f t="shared" si="27"/>
        <v>8.5611307727381028E-2</v>
      </c>
      <c r="L47" s="45">
        <v>0.06</v>
      </c>
      <c r="M47" s="45">
        <v>0.1</v>
      </c>
      <c r="N47" s="22">
        <f t="shared" si="28"/>
        <v>0</v>
      </c>
      <c r="O47" s="23">
        <f t="shared" si="29"/>
        <v>0</v>
      </c>
      <c r="P47" s="23">
        <f t="shared" si="30"/>
        <v>0</v>
      </c>
      <c r="Q47" s="23">
        <f t="shared" si="31"/>
        <v>0</v>
      </c>
      <c r="R47" s="22">
        <f t="shared" si="32"/>
        <v>0</v>
      </c>
      <c r="S47" s="23">
        <f t="shared" si="33"/>
        <v>0</v>
      </c>
      <c r="T47" s="22">
        <f t="shared" si="34"/>
        <v>0</v>
      </c>
      <c r="U47" s="24">
        <f t="shared" si="35"/>
        <v>0</v>
      </c>
      <c r="V47" s="56">
        <f t="shared" si="36"/>
        <v>0</v>
      </c>
      <c r="W47" s="57">
        <f t="shared" si="37"/>
        <v>0</v>
      </c>
    </row>
    <row r="48" spans="1:23" x14ac:dyDescent="0.3">
      <c r="A48" s="1">
        <v>43</v>
      </c>
      <c r="B48" s="3"/>
      <c r="C48" s="4"/>
      <c r="D48" s="6"/>
      <c r="E48" s="5"/>
      <c r="F48" s="2">
        <f t="shared" si="11"/>
        <v>0</v>
      </c>
      <c r="G48" s="4"/>
      <c r="H48" s="43"/>
      <c r="I48" s="14">
        <f t="shared" si="12"/>
        <v>0</v>
      </c>
      <c r="J48" s="28">
        <v>0.79</v>
      </c>
      <c r="K48" s="47">
        <f t="shared" si="27"/>
        <v>8.5611307727381028E-2</v>
      </c>
      <c r="L48" s="45">
        <v>0.06</v>
      </c>
      <c r="M48" s="45">
        <v>0.1</v>
      </c>
      <c r="N48" s="22">
        <f t="shared" si="28"/>
        <v>0</v>
      </c>
      <c r="O48" s="23">
        <f t="shared" si="29"/>
        <v>0</v>
      </c>
      <c r="P48" s="23">
        <f t="shared" si="30"/>
        <v>0</v>
      </c>
      <c r="Q48" s="23">
        <f t="shared" si="31"/>
        <v>0</v>
      </c>
      <c r="R48" s="22">
        <f t="shared" si="32"/>
        <v>0</v>
      </c>
      <c r="S48" s="23">
        <f t="shared" si="33"/>
        <v>0</v>
      </c>
      <c r="T48" s="22">
        <f t="shared" si="34"/>
        <v>0</v>
      </c>
      <c r="U48" s="24">
        <f t="shared" si="35"/>
        <v>0</v>
      </c>
      <c r="V48" s="56">
        <f t="shared" si="36"/>
        <v>0</v>
      </c>
      <c r="W48" s="57">
        <f t="shared" si="37"/>
        <v>0</v>
      </c>
    </row>
    <row r="49" spans="1:23" x14ac:dyDescent="0.3">
      <c r="A49" s="1">
        <v>44</v>
      </c>
      <c r="B49" s="3"/>
      <c r="C49" s="4"/>
      <c r="D49" s="6"/>
      <c r="E49" s="5"/>
      <c r="F49" s="2">
        <f t="shared" si="11"/>
        <v>0</v>
      </c>
      <c r="G49" s="4"/>
      <c r="H49" s="43"/>
      <c r="I49" s="14">
        <f t="shared" si="12"/>
        <v>0</v>
      </c>
      <c r="J49" s="28">
        <v>0.79</v>
      </c>
      <c r="K49" s="47">
        <f t="shared" si="27"/>
        <v>8.5611307727381028E-2</v>
      </c>
      <c r="L49" s="45">
        <v>0.06</v>
      </c>
      <c r="M49" s="45">
        <v>0.1</v>
      </c>
      <c r="N49" s="22">
        <f t="shared" si="28"/>
        <v>0</v>
      </c>
      <c r="O49" s="23">
        <f t="shared" si="29"/>
        <v>0</v>
      </c>
      <c r="P49" s="23">
        <f t="shared" si="30"/>
        <v>0</v>
      </c>
      <c r="Q49" s="23">
        <f t="shared" si="31"/>
        <v>0</v>
      </c>
      <c r="R49" s="22">
        <f t="shared" si="32"/>
        <v>0</v>
      </c>
      <c r="S49" s="23">
        <f t="shared" si="33"/>
        <v>0</v>
      </c>
      <c r="T49" s="22">
        <f t="shared" si="34"/>
        <v>0</v>
      </c>
      <c r="U49" s="24">
        <f t="shared" si="35"/>
        <v>0</v>
      </c>
      <c r="V49" s="56">
        <f t="shared" si="36"/>
        <v>0</v>
      </c>
      <c r="W49" s="57">
        <f t="shared" si="37"/>
        <v>0</v>
      </c>
    </row>
    <row r="50" spans="1:23" x14ac:dyDescent="0.3">
      <c r="A50" s="1">
        <v>45</v>
      </c>
      <c r="B50" s="3"/>
      <c r="C50" s="4"/>
      <c r="D50" s="6"/>
      <c r="E50" s="5"/>
      <c r="F50" s="2">
        <f t="shared" si="11"/>
        <v>0</v>
      </c>
      <c r="G50" s="4"/>
      <c r="H50" s="43"/>
      <c r="I50" s="14">
        <f t="shared" si="12"/>
        <v>0</v>
      </c>
      <c r="J50" s="28">
        <v>0.79</v>
      </c>
      <c r="K50" s="47">
        <f t="shared" si="27"/>
        <v>8.5611307727381028E-2</v>
      </c>
      <c r="L50" s="45">
        <v>0.06</v>
      </c>
      <c r="M50" s="45">
        <v>0.1</v>
      </c>
      <c r="N50" s="22">
        <f t="shared" si="28"/>
        <v>0</v>
      </c>
      <c r="O50" s="23">
        <f t="shared" si="29"/>
        <v>0</v>
      </c>
      <c r="P50" s="23">
        <f t="shared" si="30"/>
        <v>0</v>
      </c>
      <c r="Q50" s="23">
        <f t="shared" si="31"/>
        <v>0</v>
      </c>
      <c r="R50" s="22">
        <f t="shared" si="32"/>
        <v>0</v>
      </c>
      <c r="S50" s="23">
        <f t="shared" si="33"/>
        <v>0</v>
      </c>
      <c r="T50" s="22">
        <f t="shared" si="34"/>
        <v>0</v>
      </c>
      <c r="U50" s="24">
        <f t="shared" si="35"/>
        <v>0</v>
      </c>
      <c r="V50" s="56">
        <f t="shared" si="36"/>
        <v>0</v>
      </c>
      <c r="W50" s="57">
        <f t="shared" si="37"/>
        <v>0</v>
      </c>
    </row>
    <row r="51" spans="1:23" x14ac:dyDescent="0.3">
      <c r="A51" s="1">
        <v>46</v>
      </c>
      <c r="B51" s="3"/>
      <c r="C51" s="4"/>
      <c r="D51" s="4"/>
      <c r="E51" s="5"/>
      <c r="F51" s="2">
        <f>ROUND(IF(D51=0,C51+C51*E51,C51+D51),-1)</f>
        <v>0</v>
      </c>
      <c r="G51" s="4"/>
      <c r="H51" s="43"/>
      <c r="I51" s="14">
        <f t="shared" si="12"/>
        <v>0</v>
      </c>
      <c r="J51" s="28">
        <v>0.79</v>
      </c>
      <c r="K51" s="47">
        <f t="shared" si="27"/>
        <v>8.5611307727381028E-2</v>
      </c>
      <c r="L51" s="45">
        <v>0.06</v>
      </c>
      <c r="M51" s="45">
        <v>0.1</v>
      </c>
      <c r="N51" s="22">
        <f t="shared" si="28"/>
        <v>0</v>
      </c>
      <c r="O51" s="23">
        <f t="shared" si="29"/>
        <v>0</v>
      </c>
      <c r="P51" s="23">
        <f t="shared" si="30"/>
        <v>0</v>
      </c>
      <c r="Q51" s="23">
        <f t="shared" si="31"/>
        <v>0</v>
      </c>
      <c r="R51" s="22">
        <f t="shared" si="32"/>
        <v>0</v>
      </c>
      <c r="S51" s="23">
        <f t="shared" si="33"/>
        <v>0</v>
      </c>
      <c r="T51" s="22">
        <f t="shared" si="34"/>
        <v>0</v>
      </c>
      <c r="U51" s="24">
        <f t="shared" si="35"/>
        <v>0</v>
      </c>
      <c r="V51" s="56">
        <f t="shared" si="36"/>
        <v>0</v>
      </c>
      <c r="W51" s="57">
        <f t="shared" si="37"/>
        <v>0</v>
      </c>
    </row>
    <row r="52" spans="1:23" x14ac:dyDescent="0.3">
      <c r="A52" s="1">
        <v>47</v>
      </c>
      <c r="B52" s="3"/>
      <c r="C52" s="4"/>
      <c r="D52" s="6"/>
      <c r="E52" s="5"/>
      <c r="F52" s="2">
        <f t="shared" si="11"/>
        <v>0</v>
      </c>
      <c r="G52" s="4"/>
      <c r="H52" s="43"/>
      <c r="I52" s="14">
        <f>G52*H52</f>
        <v>0</v>
      </c>
      <c r="J52" s="28">
        <v>0.79</v>
      </c>
      <c r="K52" s="47">
        <f t="shared" si="27"/>
        <v>8.5611307727381028E-2</v>
      </c>
      <c r="L52" s="45">
        <v>0.06</v>
      </c>
      <c r="M52" s="45">
        <v>0.1</v>
      </c>
      <c r="N52" s="22">
        <f t="shared" si="28"/>
        <v>0</v>
      </c>
      <c r="O52" s="23">
        <f t="shared" si="29"/>
        <v>0</v>
      </c>
      <c r="P52" s="23">
        <f t="shared" si="30"/>
        <v>0</v>
      </c>
      <c r="Q52" s="23">
        <f t="shared" si="31"/>
        <v>0</v>
      </c>
      <c r="R52" s="22">
        <f t="shared" si="32"/>
        <v>0</v>
      </c>
      <c r="S52" s="23">
        <f t="shared" si="33"/>
        <v>0</v>
      </c>
      <c r="T52" s="22">
        <f t="shared" si="34"/>
        <v>0</v>
      </c>
      <c r="U52" s="24">
        <f t="shared" si="35"/>
        <v>0</v>
      </c>
      <c r="V52" s="56">
        <f t="shared" si="36"/>
        <v>0</v>
      </c>
      <c r="W52" s="57">
        <f t="shared" si="37"/>
        <v>0</v>
      </c>
    </row>
    <row r="53" spans="1:23" x14ac:dyDescent="0.3">
      <c r="A53" s="1">
        <v>48</v>
      </c>
      <c r="B53" s="3"/>
      <c r="C53" s="4"/>
      <c r="D53" s="6"/>
      <c r="E53" s="5"/>
      <c r="F53" s="2">
        <f t="shared" si="11"/>
        <v>0</v>
      </c>
      <c r="G53" s="4"/>
      <c r="H53" s="43"/>
      <c r="I53" s="14">
        <f t="shared" si="12"/>
        <v>0</v>
      </c>
      <c r="J53" s="28">
        <v>0.79</v>
      </c>
      <c r="K53" s="47">
        <f t="shared" si="27"/>
        <v>8.5611307727381028E-2</v>
      </c>
      <c r="L53" s="45">
        <v>0.06</v>
      </c>
      <c r="M53" s="45">
        <v>0.1</v>
      </c>
      <c r="N53" s="22">
        <f t="shared" si="28"/>
        <v>0</v>
      </c>
      <c r="O53" s="23">
        <f t="shared" si="29"/>
        <v>0</v>
      </c>
      <c r="P53" s="23">
        <f t="shared" si="30"/>
        <v>0</v>
      </c>
      <c r="Q53" s="23">
        <f t="shared" si="31"/>
        <v>0</v>
      </c>
      <c r="R53" s="22">
        <f t="shared" si="32"/>
        <v>0</v>
      </c>
      <c r="S53" s="23">
        <f t="shared" si="33"/>
        <v>0</v>
      </c>
      <c r="T53" s="22">
        <f t="shared" si="34"/>
        <v>0</v>
      </c>
      <c r="U53" s="24">
        <f t="shared" si="35"/>
        <v>0</v>
      </c>
      <c r="V53" s="56">
        <f t="shared" si="36"/>
        <v>0</v>
      </c>
      <c r="W53" s="57">
        <f t="shared" si="37"/>
        <v>0</v>
      </c>
    </row>
    <row r="54" spans="1:23" x14ac:dyDescent="0.3">
      <c r="A54" s="1">
        <v>49</v>
      </c>
      <c r="B54" s="3"/>
      <c r="C54" s="4"/>
      <c r="D54" s="6"/>
      <c r="E54" s="5"/>
      <c r="F54" s="2">
        <f t="shared" si="11"/>
        <v>0</v>
      </c>
      <c r="G54" s="4"/>
      <c r="H54" s="43"/>
      <c r="I54" s="14">
        <f t="shared" si="12"/>
        <v>0</v>
      </c>
      <c r="J54" s="28">
        <v>0.79</v>
      </c>
      <c r="K54" s="47">
        <f t="shared" si="27"/>
        <v>8.5611307727381028E-2</v>
      </c>
      <c r="L54" s="45">
        <v>0.06</v>
      </c>
      <c r="M54" s="45">
        <v>0.1</v>
      </c>
      <c r="N54" s="22">
        <f t="shared" si="28"/>
        <v>0</v>
      </c>
      <c r="O54" s="23">
        <f t="shared" si="29"/>
        <v>0</v>
      </c>
      <c r="P54" s="23">
        <f t="shared" si="30"/>
        <v>0</v>
      </c>
      <c r="Q54" s="23">
        <f t="shared" si="31"/>
        <v>0</v>
      </c>
      <c r="R54" s="22">
        <f t="shared" si="32"/>
        <v>0</v>
      </c>
      <c r="S54" s="23">
        <f t="shared" si="33"/>
        <v>0</v>
      </c>
      <c r="T54" s="22">
        <f t="shared" si="34"/>
        <v>0</v>
      </c>
      <c r="U54" s="24">
        <f t="shared" si="35"/>
        <v>0</v>
      </c>
      <c r="V54" s="56">
        <f t="shared" si="36"/>
        <v>0</v>
      </c>
      <c r="W54" s="57">
        <f t="shared" si="37"/>
        <v>0</v>
      </c>
    </row>
    <row r="55" spans="1:23" x14ac:dyDescent="0.3">
      <c r="A55" s="1">
        <v>50</v>
      </c>
      <c r="B55" s="3"/>
      <c r="C55" s="4"/>
      <c r="D55" s="6"/>
      <c r="E55" s="5"/>
      <c r="F55" s="2">
        <f t="shared" si="11"/>
        <v>0</v>
      </c>
      <c r="G55" s="4"/>
      <c r="H55" s="43"/>
      <c r="I55" s="14">
        <f t="shared" si="12"/>
        <v>0</v>
      </c>
      <c r="J55" s="28">
        <v>0.79</v>
      </c>
      <c r="K55" s="47">
        <f t="shared" si="27"/>
        <v>8.5611307727381028E-2</v>
      </c>
      <c r="L55" s="45">
        <v>0.06</v>
      </c>
      <c r="M55" s="45">
        <v>0.1</v>
      </c>
      <c r="N55" s="22">
        <f t="shared" si="28"/>
        <v>0</v>
      </c>
      <c r="O55" s="23">
        <f t="shared" si="29"/>
        <v>0</v>
      </c>
      <c r="P55" s="23">
        <f t="shared" si="30"/>
        <v>0</v>
      </c>
      <c r="Q55" s="23">
        <f t="shared" si="31"/>
        <v>0</v>
      </c>
      <c r="R55" s="22">
        <f t="shared" si="32"/>
        <v>0</v>
      </c>
      <c r="S55" s="23">
        <f t="shared" si="33"/>
        <v>0</v>
      </c>
      <c r="T55" s="22">
        <f t="shared" si="34"/>
        <v>0</v>
      </c>
      <c r="U55" s="24">
        <f t="shared" si="35"/>
        <v>0</v>
      </c>
      <c r="V55" s="56">
        <f t="shared" si="36"/>
        <v>0</v>
      </c>
      <c r="W55" s="57">
        <f t="shared" si="37"/>
        <v>0</v>
      </c>
    </row>
    <row r="56" spans="1:23" x14ac:dyDescent="0.3">
      <c r="A56" s="1">
        <v>51</v>
      </c>
      <c r="B56" s="3"/>
      <c r="C56" s="4"/>
      <c r="D56" s="6"/>
      <c r="E56" s="5"/>
      <c r="F56" s="2">
        <f t="shared" si="11"/>
        <v>0</v>
      </c>
      <c r="G56" s="4"/>
      <c r="H56" s="43"/>
      <c r="I56" s="14">
        <f t="shared" si="12"/>
        <v>0</v>
      </c>
      <c r="J56" s="28">
        <v>0.79</v>
      </c>
      <c r="K56" s="47">
        <f t="shared" si="27"/>
        <v>8.5611307727381028E-2</v>
      </c>
      <c r="L56" s="45">
        <v>0.06</v>
      </c>
      <c r="M56" s="45">
        <v>0.1</v>
      </c>
      <c r="N56" s="22">
        <f t="shared" si="28"/>
        <v>0</v>
      </c>
      <c r="O56" s="23">
        <f t="shared" si="29"/>
        <v>0</v>
      </c>
      <c r="P56" s="23">
        <f t="shared" si="30"/>
        <v>0</v>
      </c>
      <c r="Q56" s="23">
        <f t="shared" si="31"/>
        <v>0</v>
      </c>
      <c r="R56" s="22">
        <f t="shared" si="32"/>
        <v>0</v>
      </c>
      <c r="S56" s="23">
        <f t="shared" si="33"/>
        <v>0</v>
      </c>
      <c r="T56" s="22">
        <f t="shared" si="34"/>
        <v>0</v>
      </c>
      <c r="U56" s="24">
        <f t="shared" si="35"/>
        <v>0</v>
      </c>
      <c r="V56" s="56">
        <f t="shared" si="36"/>
        <v>0</v>
      </c>
      <c r="W56" s="57">
        <f t="shared" si="37"/>
        <v>0</v>
      </c>
    </row>
    <row r="57" spans="1:23" x14ac:dyDescent="0.3">
      <c r="A57" s="1">
        <v>52</v>
      </c>
      <c r="B57" s="3"/>
      <c r="C57" s="4"/>
      <c r="D57" s="6"/>
      <c r="E57" s="5"/>
      <c r="F57" s="2">
        <f t="shared" si="11"/>
        <v>0</v>
      </c>
      <c r="G57" s="4"/>
      <c r="H57" s="43"/>
      <c r="I57" s="14">
        <f t="shared" si="12"/>
        <v>0</v>
      </c>
      <c r="J57" s="28">
        <v>0.79</v>
      </c>
      <c r="K57" s="47">
        <f t="shared" si="27"/>
        <v>8.5611307727381028E-2</v>
      </c>
      <c r="L57" s="45">
        <v>0.06</v>
      </c>
      <c r="M57" s="45">
        <v>0.1</v>
      </c>
      <c r="N57" s="22">
        <f t="shared" si="28"/>
        <v>0</v>
      </c>
      <c r="O57" s="23">
        <f t="shared" si="29"/>
        <v>0</v>
      </c>
      <c r="P57" s="23">
        <f t="shared" si="30"/>
        <v>0</v>
      </c>
      <c r="Q57" s="23">
        <f t="shared" si="31"/>
        <v>0</v>
      </c>
      <c r="R57" s="22">
        <f t="shared" si="32"/>
        <v>0</v>
      </c>
      <c r="S57" s="23">
        <f t="shared" si="33"/>
        <v>0</v>
      </c>
      <c r="T57" s="22">
        <f t="shared" si="34"/>
        <v>0</v>
      </c>
      <c r="U57" s="24">
        <f t="shared" si="35"/>
        <v>0</v>
      </c>
      <c r="V57" s="56">
        <f t="shared" si="36"/>
        <v>0</v>
      </c>
      <c r="W57" s="57">
        <f t="shared" si="37"/>
        <v>0</v>
      </c>
    </row>
    <row r="58" spans="1:23" x14ac:dyDescent="0.3">
      <c r="A58" s="1">
        <v>53</v>
      </c>
      <c r="B58" s="3"/>
      <c r="C58" s="4"/>
      <c r="D58" s="6"/>
      <c r="E58" s="5"/>
      <c r="F58" s="2">
        <f t="shared" si="11"/>
        <v>0</v>
      </c>
      <c r="G58" s="4"/>
      <c r="H58" s="43"/>
      <c r="I58" s="14">
        <f t="shared" si="12"/>
        <v>0</v>
      </c>
      <c r="J58" s="28">
        <v>0.79</v>
      </c>
      <c r="K58" s="47">
        <f t="shared" si="27"/>
        <v>8.5611307727381028E-2</v>
      </c>
      <c r="L58" s="45">
        <v>0.06</v>
      </c>
      <c r="M58" s="45">
        <v>0.1</v>
      </c>
      <c r="N58" s="22">
        <f t="shared" si="28"/>
        <v>0</v>
      </c>
      <c r="O58" s="23">
        <f t="shared" si="29"/>
        <v>0</v>
      </c>
      <c r="P58" s="23">
        <f t="shared" si="30"/>
        <v>0</v>
      </c>
      <c r="Q58" s="23">
        <f t="shared" si="31"/>
        <v>0</v>
      </c>
      <c r="R58" s="22">
        <f t="shared" si="32"/>
        <v>0</v>
      </c>
      <c r="S58" s="23">
        <f t="shared" si="33"/>
        <v>0</v>
      </c>
      <c r="T58" s="22">
        <f t="shared" si="34"/>
        <v>0</v>
      </c>
      <c r="U58" s="24">
        <f t="shared" si="35"/>
        <v>0</v>
      </c>
      <c r="V58" s="56">
        <f t="shared" si="36"/>
        <v>0</v>
      </c>
      <c r="W58" s="57">
        <f t="shared" si="37"/>
        <v>0</v>
      </c>
    </row>
    <row r="59" spans="1:23" x14ac:dyDescent="0.3">
      <c r="A59" s="1">
        <v>54</v>
      </c>
      <c r="B59" s="3"/>
      <c r="C59" s="4"/>
      <c r="D59" s="6"/>
      <c r="E59" s="5"/>
      <c r="F59" s="2">
        <f t="shared" si="11"/>
        <v>0</v>
      </c>
      <c r="G59" s="4"/>
      <c r="H59" s="43"/>
      <c r="I59" s="14">
        <f t="shared" si="12"/>
        <v>0</v>
      </c>
      <c r="J59" s="28">
        <v>0.79</v>
      </c>
      <c r="K59" s="47">
        <f t="shared" si="27"/>
        <v>8.5611307727381028E-2</v>
      </c>
      <c r="L59" s="45">
        <v>0.06</v>
      </c>
      <c r="M59" s="45">
        <v>0.1</v>
      </c>
      <c r="N59" s="22">
        <f t="shared" si="28"/>
        <v>0</v>
      </c>
      <c r="O59" s="23">
        <f t="shared" si="29"/>
        <v>0</v>
      </c>
      <c r="P59" s="23">
        <f t="shared" si="30"/>
        <v>0</v>
      </c>
      <c r="Q59" s="23">
        <f t="shared" si="31"/>
        <v>0</v>
      </c>
      <c r="R59" s="22">
        <f t="shared" si="32"/>
        <v>0</v>
      </c>
      <c r="S59" s="23">
        <f t="shared" si="33"/>
        <v>0</v>
      </c>
      <c r="T59" s="22">
        <f t="shared" si="34"/>
        <v>0</v>
      </c>
      <c r="U59" s="24">
        <f t="shared" si="35"/>
        <v>0</v>
      </c>
      <c r="V59" s="56">
        <f t="shared" si="36"/>
        <v>0</v>
      </c>
      <c r="W59" s="57">
        <f t="shared" si="37"/>
        <v>0</v>
      </c>
    </row>
    <row r="60" spans="1:23" x14ac:dyDescent="0.3">
      <c r="A60" s="1">
        <v>55</v>
      </c>
      <c r="B60" s="3"/>
      <c r="C60" s="4"/>
      <c r="D60" s="6"/>
      <c r="E60" s="5"/>
      <c r="F60" s="2">
        <f t="shared" si="11"/>
        <v>0</v>
      </c>
      <c r="G60" s="4"/>
      <c r="H60" s="43"/>
      <c r="I60" s="14">
        <f t="shared" si="12"/>
        <v>0</v>
      </c>
      <c r="J60" s="28">
        <v>0.79</v>
      </c>
      <c r="K60" s="47">
        <f t="shared" si="27"/>
        <v>8.5611307727381028E-2</v>
      </c>
      <c r="L60" s="45">
        <v>0.06</v>
      </c>
      <c r="M60" s="45">
        <v>0.1</v>
      </c>
      <c r="N60" s="22">
        <f t="shared" si="28"/>
        <v>0</v>
      </c>
      <c r="O60" s="23">
        <f t="shared" si="29"/>
        <v>0</v>
      </c>
      <c r="P60" s="23">
        <f t="shared" si="30"/>
        <v>0</v>
      </c>
      <c r="Q60" s="23">
        <f t="shared" si="31"/>
        <v>0</v>
      </c>
      <c r="R60" s="22">
        <f t="shared" si="32"/>
        <v>0</v>
      </c>
      <c r="S60" s="23">
        <f t="shared" si="33"/>
        <v>0</v>
      </c>
      <c r="T60" s="22">
        <f t="shared" si="34"/>
        <v>0</v>
      </c>
      <c r="U60" s="24">
        <f t="shared" si="35"/>
        <v>0</v>
      </c>
      <c r="V60" s="56">
        <f t="shared" si="36"/>
        <v>0</v>
      </c>
      <c r="W60" s="57">
        <f t="shared" si="37"/>
        <v>0</v>
      </c>
    </row>
    <row r="61" spans="1:23" x14ac:dyDescent="0.3">
      <c r="A61" s="1">
        <v>56</v>
      </c>
      <c r="B61" s="3"/>
      <c r="C61" s="4"/>
      <c r="D61" s="6"/>
      <c r="E61" s="5"/>
      <c r="F61" s="2">
        <f t="shared" si="11"/>
        <v>0</v>
      </c>
      <c r="G61" s="4"/>
      <c r="H61" s="43"/>
      <c r="I61" s="14">
        <f t="shared" si="12"/>
        <v>0</v>
      </c>
      <c r="J61" s="28">
        <v>0.79</v>
      </c>
      <c r="K61" s="47">
        <f t="shared" si="27"/>
        <v>8.5611307727381028E-2</v>
      </c>
      <c r="L61" s="45">
        <v>0.06</v>
      </c>
      <c r="M61" s="45">
        <v>0.1</v>
      </c>
      <c r="N61" s="22">
        <f t="shared" si="28"/>
        <v>0</v>
      </c>
      <c r="O61" s="23">
        <f t="shared" si="29"/>
        <v>0</v>
      </c>
      <c r="P61" s="23">
        <f t="shared" si="30"/>
        <v>0</v>
      </c>
      <c r="Q61" s="23">
        <f t="shared" si="31"/>
        <v>0</v>
      </c>
      <c r="R61" s="22">
        <f t="shared" si="32"/>
        <v>0</v>
      </c>
      <c r="S61" s="23">
        <f t="shared" si="33"/>
        <v>0</v>
      </c>
      <c r="T61" s="22">
        <f t="shared" si="34"/>
        <v>0</v>
      </c>
      <c r="U61" s="24">
        <f t="shared" si="35"/>
        <v>0</v>
      </c>
      <c r="V61" s="56">
        <f t="shared" si="36"/>
        <v>0</v>
      </c>
      <c r="W61" s="57">
        <f t="shared" si="37"/>
        <v>0</v>
      </c>
    </row>
    <row r="62" spans="1:23" x14ac:dyDescent="0.3">
      <c r="A62" s="1">
        <v>57</v>
      </c>
      <c r="B62" s="3"/>
      <c r="C62" s="4"/>
      <c r="D62" s="6"/>
      <c r="E62" s="5"/>
      <c r="F62" s="2">
        <f t="shared" si="11"/>
        <v>0</v>
      </c>
      <c r="G62" s="4"/>
      <c r="H62" s="43"/>
      <c r="I62" s="14">
        <f t="shared" si="12"/>
        <v>0</v>
      </c>
      <c r="J62" s="28">
        <v>0.79</v>
      </c>
      <c r="K62" s="47">
        <f t="shared" si="27"/>
        <v>8.5611307727381028E-2</v>
      </c>
      <c r="L62" s="45">
        <v>0.06</v>
      </c>
      <c r="M62" s="45">
        <v>0.1</v>
      </c>
      <c r="N62" s="22">
        <f t="shared" si="28"/>
        <v>0</v>
      </c>
      <c r="O62" s="23">
        <f t="shared" si="29"/>
        <v>0</v>
      </c>
      <c r="P62" s="23">
        <f t="shared" si="30"/>
        <v>0</v>
      </c>
      <c r="Q62" s="23">
        <f t="shared" si="31"/>
        <v>0</v>
      </c>
      <c r="R62" s="22">
        <f t="shared" si="32"/>
        <v>0</v>
      </c>
      <c r="S62" s="23">
        <f t="shared" si="33"/>
        <v>0</v>
      </c>
      <c r="T62" s="22">
        <f t="shared" si="34"/>
        <v>0</v>
      </c>
      <c r="U62" s="24">
        <f t="shared" si="35"/>
        <v>0</v>
      </c>
      <c r="V62" s="56">
        <f t="shared" si="36"/>
        <v>0</v>
      </c>
      <c r="W62" s="57">
        <f t="shared" si="37"/>
        <v>0</v>
      </c>
    </row>
    <row r="63" spans="1:23" x14ac:dyDescent="0.3">
      <c r="A63" s="1">
        <v>58</v>
      </c>
      <c r="B63" s="3"/>
      <c r="C63" s="4"/>
      <c r="D63" s="6"/>
      <c r="E63" s="5"/>
      <c r="F63" s="2">
        <f t="shared" si="11"/>
        <v>0</v>
      </c>
      <c r="G63" s="4"/>
      <c r="H63" s="43"/>
      <c r="I63" s="14">
        <f t="shared" si="12"/>
        <v>0</v>
      </c>
      <c r="J63" s="28">
        <v>0.79</v>
      </c>
      <c r="K63" s="47">
        <f t="shared" si="27"/>
        <v>8.5611307727381028E-2</v>
      </c>
      <c r="L63" s="45">
        <v>0.06</v>
      </c>
      <c r="M63" s="45">
        <v>0.1</v>
      </c>
      <c r="N63" s="22">
        <f t="shared" si="28"/>
        <v>0</v>
      </c>
      <c r="O63" s="23">
        <f t="shared" si="29"/>
        <v>0</v>
      </c>
      <c r="P63" s="23">
        <f t="shared" si="30"/>
        <v>0</v>
      </c>
      <c r="Q63" s="23">
        <f t="shared" si="31"/>
        <v>0</v>
      </c>
      <c r="R63" s="22">
        <f t="shared" si="32"/>
        <v>0</v>
      </c>
      <c r="S63" s="23">
        <f t="shared" si="33"/>
        <v>0</v>
      </c>
      <c r="T63" s="22">
        <f t="shared" si="34"/>
        <v>0</v>
      </c>
      <c r="U63" s="24">
        <f t="shared" si="35"/>
        <v>0</v>
      </c>
      <c r="V63" s="56">
        <f t="shared" si="36"/>
        <v>0</v>
      </c>
      <c r="W63" s="57">
        <f t="shared" si="37"/>
        <v>0</v>
      </c>
    </row>
    <row r="64" spans="1:23" x14ac:dyDescent="0.3">
      <c r="A64" s="1">
        <v>59</v>
      </c>
      <c r="B64" s="3"/>
      <c r="C64" s="4"/>
      <c r="D64" s="6"/>
      <c r="E64" s="5"/>
      <c r="F64" s="2">
        <f t="shared" si="11"/>
        <v>0</v>
      </c>
      <c r="G64" s="4"/>
      <c r="H64" s="43"/>
      <c r="I64" s="14">
        <f t="shared" si="12"/>
        <v>0</v>
      </c>
      <c r="J64" s="28">
        <v>0.79</v>
      </c>
      <c r="K64" s="47">
        <f t="shared" si="27"/>
        <v>8.5611307727381028E-2</v>
      </c>
      <c r="L64" s="45">
        <v>0.06</v>
      </c>
      <c r="M64" s="45">
        <v>0.1</v>
      </c>
      <c r="N64" s="22">
        <f t="shared" si="28"/>
        <v>0</v>
      </c>
      <c r="O64" s="23">
        <f t="shared" si="29"/>
        <v>0</v>
      </c>
      <c r="P64" s="23">
        <f t="shared" si="30"/>
        <v>0</v>
      </c>
      <c r="Q64" s="23">
        <f t="shared" si="31"/>
        <v>0</v>
      </c>
      <c r="R64" s="22">
        <f t="shared" si="32"/>
        <v>0</v>
      </c>
      <c r="S64" s="23">
        <f t="shared" si="33"/>
        <v>0</v>
      </c>
      <c r="T64" s="22">
        <f t="shared" si="34"/>
        <v>0</v>
      </c>
      <c r="U64" s="24">
        <f t="shared" si="35"/>
        <v>0</v>
      </c>
      <c r="V64" s="56">
        <f t="shared" si="36"/>
        <v>0</v>
      </c>
      <c r="W64" s="57">
        <f t="shared" si="37"/>
        <v>0</v>
      </c>
    </row>
    <row r="65" spans="1:23" ht="17.25" thickBot="1" x14ac:dyDescent="0.35">
      <c r="A65" s="15">
        <v>60</v>
      </c>
      <c r="B65" s="16"/>
      <c r="C65" s="17"/>
      <c r="D65" s="18"/>
      <c r="E65" s="19"/>
      <c r="F65" s="20">
        <f>ROUND(IF(D65=0,C65+C65*E65,C65+D65),-1)</f>
        <v>0</v>
      </c>
      <c r="G65" s="17"/>
      <c r="H65" s="44"/>
      <c r="I65" s="21">
        <f t="shared" si="12"/>
        <v>0</v>
      </c>
      <c r="J65" s="29">
        <v>0.79</v>
      </c>
      <c r="K65" s="48">
        <f t="shared" si="27"/>
        <v>8.5611307727381028E-2</v>
      </c>
      <c r="L65" s="46">
        <v>0.06</v>
      </c>
      <c r="M65" s="46">
        <v>0.1</v>
      </c>
      <c r="N65" s="25">
        <f t="shared" si="28"/>
        <v>0</v>
      </c>
      <c r="O65" s="26">
        <f t="shared" si="29"/>
        <v>0</v>
      </c>
      <c r="P65" s="26">
        <f t="shared" si="30"/>
        <v>0</v>
      </c>
      <c r="Q65" s="26">
        <f t="shared" si="31"/>
        <v>0</v>
      </c>
      <c r="R65" s="25">
        <f t="shared" si="32"/>
        <v>0</v>
      </c>
      <c r="S65" s="26">
        <f t="shared" si="33"/>
        <v>0</v>
      </c>
      <c r="T65" s="25">
        <f t="shared" si="34"/>
        <v>0</v>
      </c>
      <c r="U65" s="27">
        <f t="shared" si="35"/>
        <v>0</v>
      </c>
      <c r="V65" s="58">
        <f t="shared" si="36"/>
        <v>0</v>
      </c>
      <c r="W65" s="59">
        <f t="shared" si="37"/>
        <v>0</v>
      </c>
    </row>
    <row r="66" spans="1:23" ht="22.5" customHeight="1" thickBot="1" x14ac:dyDescent="0.35">
      <c r="G66" s="104" t="s">
        <v>39</v>
      </c>
      <c r="H66" s="105"/>
      <c r="I66" s="51">
        <f>SUM(I6:I65)</f>
        <v>2750</v>
      </c>
      <c r="N66" s="49" t="s">
        <v>24</v>
      </c>
      <c r="O66" s="52">
        <f>SUM(O6:O65)</f>
        <v>92470200</v>
      </c>
      <c r="P66" s="50"/>
      <c r="Q66" s="52">
        <f>SUM(Q6:Q65)</f>
        <v>8241635.3344768286</v>
      </c>
      <c r="R66" s="50"/>
      <c r="S66" s="52">
        <f>SUM(S6:S65)</f>
        <v>6042710.1200686097</v>
      </c>
      <c r="T66" s="50"/>
      <c r="U66" s="52">
        <f>SUM(U6:U65)</f>
        <v>10675454.545454545</v>
      </c>
      <c r="V66" s="60"/>
      <c r="W66" s="61">
        <f>SUM(W6:W65)</f>
        <v>117430000</v>
      </c>
    </row>
  </sheetData>
  <sheetProtection selectLockedCells="1"/>
  <mergeCells count="14">
    <mergeCell ref="G66:H66"/>
    <mergeCell ref="A3:A5"/>
    <mergeCell ref="B3:B5"/>
    <mergeCell ref="C3:C5"/>
    <mergeCell ref="D3:E4"/>
    <mergeCell ref="F3:M4"/>
    <mergeCell ref="A2:H2"/>
    <mergeCell ref="I2:W2"/>
    <mergeCell ref="N3:W3"/>
    <mergeCell ref="N4:O4"/>
    <mergeCell ref="P4:Q4"/>
    <mergeCell ref="R4:S4"/>
    <mergeCell ref="T4:U4"/>
    <mergeCell ref="V4:W4"/>
  </mergeCells>
  <phoneticPr fontId="2" type="noConversion"/>
  <dataValidations count="3">
    <dataValidation type="whole" operator="greaterThanOrEqual" allowBlank="1" showInputMessage="1" showErrorMessage="1" sqref="D51 G6:G65 C6:C65" xr:uid="{00000000-0002-0000-0000-000000000000}">
      <formula1>0</formula1>
    </dataValidation>
    <dataValidation type="decimal" allowBlank="1" showInputMessage="1" showErrorMessage="1" sqref="L6:L65" xr:uid="{00000000-0002-0000-0000-000001000000}">
      <formula1>0</formula1>
      <formula2>0.06</formula2>
    </dataValidation>
    <dataValidation type="decimal" allowBlank="1" showInputMessage="1" showErrorMessage="1" sqref="M6:M65" xr:uid="{00000000-0002-0000-0000-000002000000}">
      <formula1>0</formula1>
      <formula2>0.1</formula2>
    </dataValidation>
  </dataValidations>
  <pageMargins left="0.70866141732283472" right="0.31496062992125984" top="0.74803149606299213" bottom="0.74803149606299213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opLeftCell="A10" workbookViewId="0">
      <selection activeCell="B6" sqref="B6:D6"/>
    </sheetView>
  </sheetViews>
  <sheetFormatPr defaultRowHeight="16.5" x14ac:dyDescent="0.3"/>
  <cols>
    <col min="1" max="1" width="11.25" customWidth="1"/>
    <col min="2" max="2" width="25" customWidth="1"/>
    <col min="3" max="3" width="2.875" customWidth="1"/>
    <col min="4" max="4" width="14" customWidth="1"/>
    <col min="5" max="5" width="17.625" customWidth="1"/>
    <col min="6" max="6" width="23.25" customWidth="1"/>
  </cols>
  <sheetData>
    <row r="1" spans="1:6" ht="54.95" customHeight="1" x14ac:dyDescent="0.3">
      <c r="A1" s="125" t="s">
        <v>77</v>
      </c>
      <c r="B1" s="126"/>
      <c r="C1" s="126"/>
      <c r="D1" s="126"/>
      <c r="E1" s="126"/>
      <c r="F1" s="127"/>
    </row>
    <row r="2" spans="1:6" ht="54.95" customHeight="1" x14ac:dyDescent="0.3">
      <c r="A2" s="1" t="s">
        <v>28</v>
      </c>
      <c r="B2" s="140" t="str">
        <f>'세부원가내역서(방과후학교,특기적성)'!I2</f>
        <v>○○○○학교 20○○학년도 돌봄·방과후학교 프로그램 운영 용역</v>
      </c>
      <c r="C2" s="140"/>
      <c r="D2" s="140"/>
      <c r="E2" s="140"/>
      <c r="F2" s="141"/>
    </row>
    <row r="3" spans="1:6" ht="54.95" customHeight="1" x14ac:dyDescent="0.3">
      <c r="A3" s="34" t="s">
        <v>14</v>
      </c>
      <c r="B3" s="128" t="s">
        <v>17</v>
      </c>
      <c r="C3" s="129"/>
      <c r="D3" s="130"/>
      <c r="E3" s="10" t="s">
        <v>15</v>
      </c>
      <c r="F3" s="35" t="s">
        <v>10</v>
      </c>
    </row>
    <row r="4" spans="1:6" ht="54.95" customHeight="1" x14ac:dyDescent="0.3">
      <c r="A4" s="36" t="s">
        <v>11</v>
      </c>
      <c r="B4" s="131" t="s">
        <v>78</v>
      </c>
      <c r="C4" s="132"/>
      <c r="D4" s="133"/>
      <c r="E4" s="30">
        <f>'세부원가내역서(방과후학교,특기적성)'!O66</f>
        <v>92470200</v>
      </c>
      <c r="F4" s="37" t="str">
        <f>"원가 총액의 "&amp;ROUND((E4/E13)*100,3)&amp;"%"</f>
        <v>원가 총액의 78.745%</v>
      </c>
    </row>
    <row r="5" spans="1:6" ht="105.6" customHeight="1" x14ac:dyDescent="0.3">
      <c r="A5" s="138" t="s">
        <v>29</v>
      </c>
      <c r="B5" s="64" t="s">
        <v>81</v>
      </c>
      <c r="C5" s="11" t="s">
        <v>18</v>
      </c>
      <c r="D5" s="67">
        <v>3.3E-3</v>
      </c>
      <c r="E5" s="30">
        <f>(E4-E4*F6)*D5</f>
        <v>259684.06266</v>
      </c>
      <c r="F5" s="66" t="s">
        <v>44</v>
      </c>
    </row>
    <row r="6" spans="1:6" ht="50.25" customHeight="1" x14ac:dyDescent="0.3">
      <c r="A6" s="138"/>
      <c r="B6" s="142" t="s">
        <v>60</v>
      </c>
      <c r="C6" s="142"/>
      <c r="D6" s="142"/>
      <c r="E6" s="68" t="s">
        <v>58</v>
      </c>
      <c r="F6" s="93">
        <v>0.14899999999999999</v>
      </c>
    </row>
    <row r="7" spans="1:6" ht="70.150000000000006" customHeight="1" x14ac:dyDescent="0.3">
      <c r="A7" s="138"/>
      <c r="B7" s="64" t="s">
        <v>83</v>
      </c>
      <c r="C7" s="11" t="s">
        <v>18</v>
      </c>
      <c r="D7" s="63">
        <v>8.0000000000000002E-3</v>
      </c>
      <c r="E7" s="30">
        <f>(E4-E4*F8)*D7</f>
        <v>629537.12160000007</v>
      </c>
      <c r="F7" s="66" t="s">
        <v>43</v>
      </c>
    </row>
    <row r="8" spans="1:6" ht="51" customHeight="1" x14ac:dyDescent="0.3">
      <c r="A8" s="138"/>
      <c r="B8" s="142" t="s">
        <v>59</v>
      </c>
      <c r="C8" s="142"/>
      <c r="D8" s="142"/>
      <c r="E8" s="68" t="s">
        <v>58</v>
      </c>
      <c r="F8" s="93">
        <v>0.14899999999999999</v>
      </c>
    </row>
    <row r="9" spans="1:6" ht="54.95" customHeight="1" x14ac:dyDescent="0.3">
      <c r="A9" s="138"/>
      <c r="B9" s="31" t="s">
        <v>27</v>
      </c>
      <c r="C9" s="32"/>
      <c r="D9" s="33"/>
      <c r="E9" s="30">
        <f>E10-E5-E7</f>
        <v>7352414.1502168281</v>
      </c>
      <c r="F9" s="37"/>
    </row>
    <row r="10" spans="1:6" ht="54.95" customHeight="1" x14ac:dyDescent="0.3">
      <c r="A10" s="139"/>
      <c r="B10" s="131" t="s">
        <v>79</v>
      </c>
      <c r="C10" s="132"/>
      <c r="D10" s="133"/>
      <c r="E10" s="30">
        <f>'세부원가내역서(방과후학교,특기적성)'!Q66</f>
        <v>8241635.3344768286</v>
      </c>
      <c r="F10" s="37" t="str">
        <f>"원가 총액의 "&amp;ROUND((E10/E13)*100,3)&amp;"%"</f>
        <v>원가 총액의 7.018%</v>
      </c>
    </row>
    <row r="11" spans="1:6" ht="54.95" customHeight="1" x14ac:dyDescent="0.3">
      <c r="A11" s="36" t="s">
        <v>12</v>
      </c>
      <c r="B11" s="11" t="s">
        <v>19</v>
      </c>
      <c r="C11" s="11" t="s">
        <v>18</v>
      </c>
      <c r="D11" s="13">
        <v>0.06</v>
      </c>
      <c r="E11" s="30">
        <f>(E4+E10)*D11</f>
        <v>6042710.1200686097</v>
      </c>
      <c r="F11" s="37" t="str">
        <f>"원가 총액의 "&amp;ROUND((E11/E13)*100,3)&amp;"%"</f>
        <v>원가 총액의 5.146%</v>
      </c>
    </row>
    <row r="12" spans="1:6" ht="54.95" customHeight="1" x14ac:dyDescent="0.3">
      <c r="A12" s="36" t="s">
        <v>16</v>
      </c>
      <c r="B12" s="11" t="s">
        <v>20</v>
      </c>
      <c r="C12" s="11" t="s">
        <v>18</v>
      </c>
      <c r="D12" s="13">
        <v>0.1</v>
      </c>
      <c r="E12" s="30">
        <f>(E4+E10+E11)*D12</f>
        <v>10675454.545454545</v>
      </c>
      <c r="F12" s="37" t="str">
        <f>"원가 총액의 "&amp;ROUND((E12/E13)*100,3)&amp;"%"</f>
        <v>원가 총액의 9.091%</v>
      </c>
    </row>
    <row r="13" spans="1:6" ht="54.95" customHeight="1" x14ac:dyDescent="0.3">
      <c r="A13" s="134" t="s">
        <v>42</v>
      </c>
      <c r="B13" s="132"/>
      <c r="C13" s="132"/>
      <c r="D13" s="133"/>
      <c r="E13" s="30">
        <f>ROUNDDOWN(E4+E10+E11+E12,0)</f>
        <v>117430000</v>
      </c>
      <c r="F13" s="38"/>
    </row>
    <row r="14" spans="1:6" ht="54.95" customHeight="1" thickBot="1" x14ac:dyDescent="0.35">
      <c r="A14" s="135" t="s">
        <v>22</v>
      </c>
      <c r="B14" s="136"/>
      <c r="C14" s="136"/>
      <c r="D14" s="137"/>
      <c r="E14" s="39">
        <f>ROUNDDOWN(E4+E10+E11+E12,-3)</f>
        <v>117430000</v>
      </c>
      <c r="F14" s="65" t="s">
        <v>13</v>
      </c>
    </row>
  </sheetData>
  <mergeCells count="10">
    <mergeCell ref="A1:F1"/>
    <mergeCell ref="B3:D3"/>
    <mergeCell ref="B4:D4"/>
    <mergeCell ref="A13:D13"/>
    <mergeCell ref="A14:D14"/>
    <mergeCell ref="B10:D10"/>
    <mergeCell ref="A5:A10"/>
    <mergeCell ref="B2:F2"/>
    <mergeCell ref="B6:D6"/>
    <mergeCell ref="B8:D8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2"/>
  <sheetViews>
    <sheetView topLeftCell="B1" zoomScaleNormal="100" workbookViewId="0">
      <selection activeCell="A3" sqref="A3:U3"/>
    </sheetView>
  </sheetViews>
  <sheetFormatPr defaultRowHeight="16.5" x14ac:dyDescent="0.3"/>
  <cols>
    <col min="1" max="1" width="6.625" customWidth="1"/>
    <col min="2" max="2" width="13.75" customWidth="1"/>
    <col min="3" max="3" width="9.5" customWidth="1"/>
    <col min="4" max="9" width="7.75" customWidth="1"/>
    <col min="12" max="12" width="10.625" customWidth="1"/>
    <col min="13" max="13" width="15.625" customWidth="1"/>
    <col min="14" max="14" width="10.625" customWidth="1"/>
    <col min="15" max="15" width="13.125" customWidth="1"/>
    <col min="16" max="16" width="10.625" customWidth="1"/>
    <col min="17" max="17" width="13.125" customWidth="1"/>
    <col min="18" max="18" width="10.625" customWidth="1"/>
    <col min="19" max="19" width="13.125" customWidth="1"/>
    <col min="20" max="20" width="10.625" style="81" customWidth="1"/>
    <col min="21" max="21" width="15.625" style="81" customWidth="1"/>
    <col min="22" max="22" width="12.625" bestFit="1" customWidth="1"/>
  </cols>
  <sheetData>
    <row r="1" spans="1:22" ht="17.25" thickBot="1" x14ac:dyDescent="0.35"/>
    <row r="2" spans="1:22" ht="33" customHeight="1" thickBot="1" x14ac:dyDescent="0.35">
      <c r="A2" s="96" t="s">
        <v>69</v>
      </c>
      <c r="B2" s="97"/>
      <c r="C2" s="97"/>
      <c r="D2" s="97"/>
      <c r="E2" s="97"/>
      <c r="F2" s="97"/>
      <c r="G2" s="97"/>
      <c r="H2" s="98"/>
      <c r="I2" s="97" t="s">
        <v>92</v>
      </c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</row>
    <row r="3" spans="1:22" ht="20.100000000000001" customHeight="1" x14ac:dyDescent="0.3">
      <c r="A3" s="168" t="s">
        <v>71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70"/>
    </row>
    <row r="4" spans="1:22" ht="20.100000000000001" customHeight="1" x14ac:dyDescent="0.3">
      <c r="A4" s="157" t="s">
        <v>72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9"/>
    </row>
    <row r="5" spans="1:22" ht="20.100000000000001" customHeight="1" x14ac:dyDescent="0.3">
      <c r="A5" s="157" t="s">
        <v>73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9"/>
    </row>
    <row r="6" spans="1:22" ht="20.100000000000001" customHeight="1" x14ac:dyDescent="0.3">
      <c r="A6" s="157" t="s">
        <v>74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9"/>
    </row>
    <row r="7" spans="1:22" ht="20.100000000000001" customHeight="1" x14ac:dyDescent="0.3">
      <c r="A7" s="157" t="s">
        <v>75</v>
      </c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9"/>
    </row>
    <row r="8" spans="1:22" ht="20.100000000000001" customHeight="1" x14ac:dyDescent="0.3">
      <c r="A8" s="157" t="s">
        <v>76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9"/>
    </row>
    <row r="9" spans="1:22" ht="20.100000000000001" customHeight="1" thickBot="1" x14ac:dyDescent="0.35">
      <c r="A9" s="160" t="s">
        <v>85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2"/>
    </row>
    <row r="10" spans="1:22" ht="29.25" customHeight="1" x14ac:dyDescent="0.3">
      <c r="A10" s="106" t="s">
        <v>0</v>
      </c>
      <c r="B10" s="109" t="s">
        <v>25</v>
      </c>
      <c r="C10" s="99" t="s">
        <v>45</v>
      </c>
      <c r="D10" s="99"/>
      <c r="E10" s="99"/>
      <c r="F10" s="99"/>
      <c r="G10" s="99"/>
      <c r="H10" s="99"/>
      <c r="I10" s="99"/>
      <c r="J10" s="99"/>
      <c r="K10" s="99"/>
      <c r="L10" s="99" t="s">
        <v>1</v>
      </c>
      <c r="M10" s="99"/>
      <c r="N10" s="99"/>
      <c r="O10" s="99"/>
      <c r="P10" s="99"/>
      <c r="Q10" s="99"/>
      <c r="R10" s="99"/>
      <c r="S10" s="99"/>
      <c r="T10" s="99"/>
      <c r="U10" s="100"/>
    </row>
    <row r="11" spans="1:22" ht="22.5" customHeight="1" x14ac:dyDescent="0.3">
      <c r="A11" s="107"/>
      <c r="B11" s="110"/>
      <c r="C11" s="148" t="s">
        <v>46</v>
      </c>
      <c r="D11" s="166" t="s">
        <v>47</v>
      </c>
      <c r="E11" s="166"/>
      <c r="F11" s="166"/>
      <c r="G11" s="166"/>
      <c r="H11" s="166"/>
      <c r="I11" s="166"/>
      <c r="J11" s="148" t="s">
        <v>68</v>
      </c>
      <c r="K11" s="148" t="s">
        <v>35</v>
      </c>
      <c r="L11" s="101" t="s">
        <v>2</v>
      </c>
      <c r="M11" s="101"/>
      <c r="N11" s="101" t="s">
        <v>3</v>
      </c>
      <c r="O11" s="101"/>
      <c r="P11" s="101" t="s">
        <v>4</v>
      </c>
      <c r="Q11" s="101"/>
      <c r="R11" s="101" t="s">
        <v>5</v>
      </c>
      <c r="S11" s="101"/>
      <c r="T11" s="101" t="s">
        <v>48</v>
      </c>
      <c r="U11" s="167"/>
    </row>
    <row r="12" spans="1:22" ht="80.25" customHeight="1" x14ac:dyDescent="0.3">
      <c r="A12" s="107"/>
      <c r="B12" s="110"/>
      <c r="C12" s="149"/>
      <c r="D12" s="152" t="s">
        <v>63</v>
      </c>
      <c r="E12" s="153"/>
      <c r="F12" s="152" t="s">
        <v>64</v>
      </c>
      <c r="G12" s="153"/>
      <c r="H12" s="148" t="s">
        <v>67</v>
      </c>
      <c r="I12" s="148" t="s">
        <v>66</v>
      </c>
      <c r="J12" s="149"/>
      <c r="K12" s="149"/>
      <c r="L12" s="148" t="s">
        <v>53</v>
      </c>
      <c r="M12" s="148" t="s">
        <v>8</v>
      </c>
      <c r="N12" s="151" t="s">
        <v>7</v>
      </c>
      <c r="O12" s="154" t="s">
        <v>8</v>
      </c>
      <c r="P12" s="151" t="s">
        <v>7</v>
      </c>
      <c r="Q12" s="148" t="s">
        <v>8</v>
      </c>
      <c r="R12" s="151" t="s">
        <v>7</v>
      </c>
      <c r="S12" s="148" t="s">
        <v>8</v>
      </c>
      <c r="T12" s="148" t="s">
        <v>54</v>
      </c>
      <c r="U12" s="163" t="s">
        <v>8</v>
      </c>
    </row>
    <row r="13" spans="1:22" ht="40.5" customHeight="1" x14ac:dyDescent="0.3">
      <c r="A13" s="107"/>
      <c r="B13" s="110"/>
      <c r="C13" s="149"/>
      <c r="D13" s="89" t="s">
        <v>65</v>
      </c>
      <c r="E13" s="94">
        <v>0.14899999999999999</v>
      </c>
      <c r="F13" s="68" t="s">
        <v>65</v>
      </c>
      <c r="G13" s="94">
        <v>0.14899999999999999</v>
      </c>
      <c r="H13" s="149"/>
      <c r="I13" s="149"/>
      <c r="J13" s="149"/>
      <c r="K13" s="149"/>
      <c r="L13" s="149"/>
      <c r="M13" s="149"/>
      <c r="N13" s="110"/>
      <c r="O13" s="155"/>
      <c r="P13" s="110"/>
      <c r="Q13" s="149"/>
      <c r="R13" s="110"/>
      <c r="S13" s="149"/>
      <c r="T13" s="149"/>
      <c r="U13" s="164"/>
    </row>
    <row r="14" spans="1:22" ht="41.45" customHeight="1" x14ac:dyDescent="0.3">
      <c r="A14" s="108"/>
      <c r="B14" s="111"/>
      <c r="C14" s="150"/>
      <c r="D14" s="88" t="s">
        <v>55</v>
      </c>
      <c r="E14" s="88" t="s">
        <v>56</v>
      </c>
      <c r="F14" s="88" t="s">
        <v>55</v>
      </c>
      <c r="G14" s="88" t="s">
        <v>56</v>
      </c>
      <c r="H14" s="150"/>
      <c r="I14" s="150"/>
      <c r="J14" s="150"/>
      <c r="K14" s="150"/>
      <c r="L14" s="150"/>
      <c r="M14" s="150"/>
      <c r="N14" s="111"/>
      <c r="O14" s="156"/>
      <c r="P14" s="111"/>
      <c r="Q14" s="150"/>
      <c r="R14" s="111"/>
      <c r="S14" s="150"/>
      <c r="T14" s="111"/>
      <c r="U14" s="165"/>
    </row>
    <row r="15" spans="1:22" x14ac:dyDescent="0.3">
      <c r="A15" s="1">
        <v>1</v>
      </c>
      <c r="B15" s="3"/>
      <c r="C15" s="71">
        <v>80</v>
      </c>
      <c r="D15" s="72">
        <v>3.3E-3</v>
      </c>
      <c r="E15" s="75">
        <f>D15*(100%-E13)</f>
        <v>2.8083000000000001E-3</v>
      </c>
      <c r="F15" s="72">
        <v>8.0000000000000002E-3</v>
      </c>
      <c r="G15" s="75">
        <f>F15*(100%-G13)</f>
        <v>6.8079999999999998E-3</v>
      </c>
      <c r="H15" s="91">
        <v>0.16980000000000001</v>
      </c>
      <c r="I15" s="47">
        <f>SUM(E15,G15,H15)</f>
        <v>0.1794163</v>
      </c>
      <c r="J15" s="73">
        <v>0.06</v>
      </c>
      <c r="K15" s="73">
        <v>0.1</v>
      </c>
      <c r="L15" s="74">
        <v>40000</v>
      </c>
      <c r="M15" s="23">
        <f>C15*L15</f>
        <v>3200000</v>
      </c>
      <c r="N15" s="23">
        <f>L15*I15</f>
        <v>7176.652</v>
      </c>
      <c r="O15" s="23">
        <f>N15*C15</f>
        <v>574132.16</v>
      </c>
      <c r="P15" s="22">
        <f>(L15+N15)*J15</f>
        <v>2830.5991199999999</v>
      </c>
      <c r="Q15" s="23">
        <f>P15*C15</f>
        <v>226447.92959999997</v>
      </c>
      <c r="R15" s="22">
        <f>(L15+N15+P15)*K15</f>
        <v>5000.7251120000001</v>
      </c>
      <c r="S15" s="24">
        <f>R15*C15</f>
        <v>400058.00896000001</v>
      </c>
      <c r="T15" s="82">
        <f>L15+N15+P15+R15</f>
        <v>55007.976232000001</v>
      </c>
      <c r="U15" s="83">
        <f>M15+O15+Q15+S15</f>
        <v>4400638.0985599998</v>
      </c>
      <c r="V15" s="12"/>
    </row>
    <row r="16" spans="1:22" x14ac:dyDescent="0.3">
      <c r="A16" s="1">
        <v>2</v>
      </c>
      <c r="B16" s="3"/>
      <c r="C16" s="71">
        <v>70</v>
      </c>
      <c r="D16" s="75">
        <f>$D$15</f>
        <v>3.3E-3</v>
      </c>
      <c r="E16" s="75">
        <f>$E$15</f>
        <v>2.8083000000000001E-3</v>
      </c>
      <c r="F16" s="75">
        <f>$F$15</f>
        <v>8.0000000000000002E-3</v>
      </c>
      <c r="G16" s="75">
        <f>$G$15</f>
        <v>6.8079999999999998E-3</v>
      </c>
      <c r="H16" s="92">
        <f>$H$15</f>
        <v>0.16980000000000001</v>
      </c>
      <c r="I16" s="47">
        <f t="shared" ref="I16:I19" si="0">SUM(E16,G16,H16)</f>
        <v>0.1794163</v>
      </c>
      <c r="J16" s="45">
        <f>J15</f>
        <v>0.06</v>
      </c>
      <c r="K16" s="45">
        <f>$K$15</f>
        <v>0.1</v>
      </c>
      <c r="L16" s="74">
        <f>$L$15</f>
        <v>40000</v>
      </c>
      <c r="M16" s="23">
        <f t="shared" ref="M16:M19" si="1">C16*L16</f>
        <v>2800000</v>
      </c>
      <c r="N16" s="23">
        <f t="shared" ref="N16:N19" si="2">L16*I16</f>
        <v>7176.652</v>
      </c>
      <c r="O16" s="23">
        <f t="shared" ref="O16:O19" si="3">N16*C16</f>
        <v>502365.64</v>
      </c>
      <c r="P16" s="22">
        <f t="shared" ref="P16:P19" si="4">(L16+N16)*J16</f>
        <v>2830.5991199999999</v>
      </c>
      <c r="Q16" s="23">
        <f t="shared" ref="Q16:Q19" si="5">P16*C16</f>
        <v>198141.93839999998</v>
      </c>
      <c r="R16" s="22">
        <f t="shared" ref="R16:R19" si="6">(L16+N16+P16)*K16</f>
        <v>5000.7251120000001</v>
      </c>
      <c r="S16" s="24">
        <f t="shared" ref="S16:S19" si="7">R16*C16</f>
        <v>350050.75783999998</v>
      </c>
      <c r="T16" s="82">
        <f t="shared" ref="T16:T19" si="8">L16+N16+P16+R16</f>
        <v>55007.976232000001</v>
      </c>
      <c r="U16" s="83">
        <f t="shared" ref="U16:U19" si="9">M16+O16+Q16+S16</f>
        <v>3850558.3362400001</v>
      </c>
    </row>
    <row r="17" spans="1:21" x14ac:dyDescent="0.3">
      <c r="A17" s="1">
        <v>3</v>
      </c>
      <c r="B17" s="3"/>
      <c r="C17" s="71">
        <v>60</v>
      </c>
      <c r="D17" s="75">
        <f t="shared" ref="D17:D19" si="10">$D$15</f>
        <v>3.3E-3</v>
      </c>
      <c r="E17" s="75">
        <f t="shared" ref="E17:E19" si="11">$E$15</f>
        <v>2.8083000000000001E-3</v>
      </c>
      <c r="F17" s="75">
        <f t="shared" ref="F17:F19" si="12">$F$15</f>
        <v>8.0000000000000002E-3</v>
      </c>
      <c r="G17" s="75">
        <f t="shared" ref="G17:G19" si="13">$G$15</f>
        <v>6.8079999999999998E-3</v>
      </c>
      <c r="H17" s="92">
        <f t="shared" ref="H17:H19" si="14">$H$15</f>
        <v>0.16980000000000001</v>
      </c>
      <c r="I17" s="47">
        <f t="shared" si="0"/>
        <v>0.1794163</v>
      </c>
      <c r="J17" s="45">
        <f t="shared" ref="J17" si="15">J16</f>
        <v>0.06</v>
      </c>
      <c r="K17" s="45">
        <f t="shared" ref="K17:K19" si="16">$K$15</f>
        <v>0.1</v>
      </c>
      <c r="L17" s="74">
        <f t="shared" ref="L17:L19" si="17">$L$15</f>
        <v>40000</v>
      </c>
      <c r="M17" s="23">
        <f t="shared" si="1"/>
        <v>2400000</v>
      </c>
      <c r="N17" s="23">
        <f t="shared" si="2"/>
        <v>7176.652</v>
      </c>
      <c r="O17" s="23">
        <f t="shared" si="3"/>
        <v>430599.12</v>
      </c>
      <c r="P17" s="22">
        <f t="shared" si="4"/>
        <v>2830.5991199999999</v>
      </c>
      <c r="Q17" s="23">
        <f t="shared" si="5"/>
        <v>169835.9472</v>
      </c>
      <c r="R17" s="22">
        <f t="shared" si="6"/>
        <v>5000.7251120000001</v>
      </c>
      <c r="S17" s="24">
        <f t="shared" si="7"/>
        <v>300043.50672</v>
      </c>
      <c r="T17" s="82">
        <f t="shared" si="8"/>
        <v>55007.976232000001</v>
      </c>
      <c r="U17" s="83">
        <f t="shared" si="9"/>
        <v>3300478.5739199999</v>
      </c>
    </row>
    <row r="18" spans="1:21" x14ac:dyDescent="0.3">
      <c r="A18" s="1">
        <v>4</v>
      </c>
      <c r="B18" s="3"/>
      <c r="C18" s="71">
        <v>50</v>
      </c>
      <c r="D18" s="75">
        <f t="shared" si="10"/>
        <v>3.3E-3</v>
      </c>
      <c r="E18" s="75">
        <f t="shared" si="11"/>
        <v>2.8083000000000001E-3</v>
      </c>
      <c r="F18" s="75">
        <f t="shared" si="12"/>
        <v>8.0000000000000002E-3</v>
      </c>
      <c r="G18" s="75">
        <f t="shared" si="13"/>
        <v>6.8079999999999998E-3</v>
      </c>
      <c r="H18" s="92">
        <f t="shared" si="14"/>
        <v>0.16980000000000001</v>
      </c>
      <c r="I18" s="47">
        <f t="shared" ref="I18" si="18">SUM(E18,G18,H18)</f>
        <v>0.1794163</v>
      </c>
      <c r="J18" s="45">
        <f>J16</f>
        <v>0.06</v>
      </c>
      <c r="K18" s="45">
        <f t="shared" si="16"/>
        <v>0.1</v>
      </c>
      <c r="L18" s="74">
        <f t="shared" si="17"/>
        <v>40000</v>
      </c>
      <c r="M18" s="23">
        <f t="shared" ref="M18" si="19">C18*L18</f>
        <v>2000000</v>
      </c>
      <c r="N18" s="23">
        <f t="shared" ref="N18" si="20">L18*I18</f>
        <v>7176.652</v>
      </c>
      <c r="O18" s="23">
        <f t="shared" ref="O18" si="21">N18*C18</f>
        <v>358832.6</v>
      </c>
      <c r="P18" s="22">
        <f t="shared" ref="P18" si="22">(L18+N18)*J18</f>
        <v>2830.5991199999999</v>
      </c>
      <c r="Q18" s="23">
        <f t="shared" ref="Q18" si="23">P18*C18</f>
        <v>141529.95600000001</v>
      </c>
      <c r="R18" s="22">
        <f t="shared" ref="R18" si="24">(L18+N18+P18)*K18</f>
        <v>5000.7251120000001</v>
      </c>
      <c r="S18" s="24">
        <f t="shared" ref="S18" si="25">R18*C18</f>
        <v>250036.2556</v>
      </c>
      <c r="T18" s="82">
        <f t="shared" ref="T18" si="26">L18+N18+P18+R18</f>
        <v>55007.976232000001</v>
      </c>
      <c r="U18" s="83">
        <f t="shared" ref="U18" si="27">M18+O18+Q18+S18</f>
        <v>2750398.8115999997</v>
      </c>
    </row>
    <row r="19" spans="1:21" x14ac:dyDescent="0.3">
      <c r="A19" s="1">
        <v>4</v>
      </c>
      <c r="B19" s="3"/>
      <c r="C19" s="71">
        <v>50</v>
      </c>
      <c r="D19" s="75">
        <f t="shared" si="10"/>
        <v>3.3E-3</v>
      </c>
      <c r="E19" s="75">
        <f t="shared" si="11"/>
        <v>2.8083000000000001E-3</v>
      </c>
      <c r="F19" s="75">
        <f t="shared" si="12"/>
        <v>8.0000000000000002E-3</v>
      </c>
      <c r="G19" s="75">
        <f t="shared" si="13"/>
        <v>6.8079999999999998E-3</v>
      </c>
      <c r="H19" s="92">
        <f t="shared" si="14"/>
        <v>0.16980000000000001</v>
      </c>
      <c r="I19" s="47">
        <f t="shared" si="0"/>
        <v>0.1794163</v>
      </c>
      <c r="J19" s="45">
        <f>J17</f>
        <v>0.06</v>
      </c>
      <c r="K19" s="45">
        <f t="shared" si="16"/>
        <v>0.1</v>
      </c>
      <c r="L19" s="74">
        <f t="shared" si="17"/>
        <v>40000</v>
      </c>
      <c r="M19" s="23">
        <f t="shared" si="1"/>
        <v>2000000</v>
      </c>
      <c r="N19" s="23">
        <f t="shared" si="2"/>
        <v>7176.652</v>
      </c>
      <c r="O19" s="23">
        <f t="shared" si="3"/>
        <v>358832.6</v>
      </c>
      <c r="P19" s="22">
        <f t="shared" si="4"/>
        <v>2830.5991199999999</v>
      </c>
      <c r="Q19" s="23">
        <f t="shared" si="5"/>
        <v>141529.95600000001</v>
      </c>
      <c r="R19" s="22">
        <f t="shared" si="6"/>
        <v>5000.7251120000001</v>
      </c>
      <c r="S19" s="24">
        <f t="shared" si="7"/>
        <v>250036.2556</v>
      </c>
      <c r="T19" s="82">
        <f t="shared" si="8"/>
        <v>55007.976232000001</v>
      </c>
      <c r="U19" s="83">
        <f t="shared" si="9"/>
        <v>2750398.8115999997</v>
      </c>
    </row>
    <row r="20" spans="1:21" ht="22.5" customHeight="1" thickBot="1" x14ac:dyDescent="0.35">
      <c r="A20" s="143" t="s">
        <v>24</v>
      </c>
      <c r="B20" s="144"/>
      <c r="C20" s="86">
        <f>SUM(C15:C19)</f>
        <v>310</v>
      </c>
      <c r="D20" s="145"/>
      <c r="E20" s="146"/>
      <c r="F20" s="146"/>
      <c r="G20" s="146"/>
      <c r="H20" s="146"/>
      <c r="I20" s="146"/>
      <c r="J20" s="146"/>
      <c r="K20" s="146"/>
      <c r="L20" s="147"/>
      <c r="M20" s="76">
        <f>SUM(M15:M19)</f>
        <v>12400000</v>
      </c>
      <c r="N20" s="77"/>
      <c r="O20" s="76">
        <f>SUM(O15:O19)</f>
        <v>2224762.12</v>
      </c>
      <c r="P20" s="77"/>
      <c r="Q20" s="76">
        <f>SUM(Q15:Q19)</f>
        <v>877485.72719999996</v>
      </c>
      <c r="R20" s="77"/>
      <c r="S20" s="76">
        <f>SUM(S15:S19)</f>
        <v>1550224.7847200001</v>
      </c>
      <c r="T20" s="84"/>
      <c r="U20" s="85">
        <f>SUM(U15:U19)</f>
        <v>17052472.631919999</v>
      </c>
    </row>
    <row r="21" spans="1:21" x14ac:dyDescent="0.3">
      <c r="T21" s="90">
        <f>T17*91%</f>
        <v>50057.258371120006</v>
      </c>
    </row>
    <row r="22" spans="1:21" x14ac:dyDescent="0.3">
      <c r="Q22" s="12"/>
      <c r="T22" s="87"/>
    </row>
  </sheetData>
  <sheetProtection selectLockedCells="1"/>
  <mergeCells count="38">
    <mergeCell ref="A2:H2"/>
    <mergeCell ref="I2:U2"/>
    <mergeCell ref="S12:S14"/>
    <mergeCell ref="T12:T14"/>
    <mergeCell ref="U12:U14"/>
    <mergeCell ref="L12:L14"/>
    <mergeCell ref="M12:M14"/>
    <mergeCell ref="C10:K10"/>
    <mergeCell ref="L10:U10"/>
    <mergeCell ref="D11:I11"/>
    <mergeCell ref="L11:M11"/>
    <mergeCell ref="N11:O11"/>
    <mergeCell ref="P11:Q11"/>
    <mergeCell ref="R11:S11"/>
    <mergeCell ref="T11:U11"/>
    <mergeCell ref="A3:U3"/>
    <mergeCell ref="A4:U4"/>
    <mergeCell ref="A8:U8"/>
    <mergeCell ref="A9:U9"/>
    <mergeCell ref="A5:U5"/>
    <mergeCell ref="A6:U6"/>
    <mergeCell ref="A7:U7"/>
    <mergeCell ref="A20:B20"/>
    <mergeCell ref="D20:L20"/>
    <mergeCell ref="Q12:Q14"/>
    <mergeCell ref="R12:R14"/>
    <mergeCell ref="F12:G12"/>
    <mergeCell ref="H12:H14"/>
    <mergeCell ref="I12:I14"/>
    <mergeCell ref="K11:K14"/>
    <mergeCell ref="J11:J14"/>
    <mergeCell ref="N12:N14"/>
    <mergeCell ref="O12:O14"/>
    <mergeCell ref="P12:P14"/>
    <mergeCell ref="A10:A14"/>
    <mergeCell ref="B10:B14"/>
    <mergeCell ref="C11:C14"/>
    <mergeCell ref="D12:E12"/>
  </mergeCells>
  <phoneticPr fontId="2" type="noConversion"/>
  <dataValidations count="2">
    <dataValidation type="decimal" allowBlank="1" showInputMessage="1" showErrorMessage="1" sqref="K15:K19" xr:uid="{00000000-0002-0000-0200-000000000000}">
      <formula1>0</formula1>
      <formula2>0.1</formula2>
    </dataValidation>
    <dataValidation type="decimal" allowBlank="1" showInputMessage="1" showErrorMessage="1" sqref="J15:J19" xr:uid="{00000000-0002-0000-0200-000001000000}">
      <formula1>0</formula1>
      <formula2>0.06</formula2>
    </dataValidation>
  </dataValidations>
  <pageMargins left="0.70866141732283472" right="0.31496062992125984" top="0.74803149606299213" bottom="0.74803149606299213" header="0.31496062992125984" footer="0.31496062992125984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B2" sqref="B2:F2"/>
    </sheetView>
  </sheetViews>
  <sheetFormatPr defaultRowHeight="16.5" x14ac:dyDescent="0.3"/>
  <cols>
    <col min="1" max="1" width="11.25" customWidth="1"/>
    <col min="2" max="2" width="25" customWidth="1"/>
    <col min="3" max="3" width="2.875" customWidth="1"/>
    <col min="4" max="4" width="14" customWidth="1"/>
    <col min="5" max="5" width="17.625" customWidth="1"/>
    <col min="6" max="6" width="23.25" customWidth="1"/>
  </cols>
  <sheetData>
    <row r="1" spans="1:6" ht="54.95" customHeight="1" x14ac:dyDescent="0.3">
      <c r="A1" s="171" t="s">
        <v>77</v>
      </c>
      <c r="B1" s="172"/>
      <c r="C1" s="172"/>
      <c r="D1" s="172"/>
      <c r="E1" s="172"/>
      <c r="F1" s="173"/>
    </row>
    <row r="2" spans="1:6" ht="54.95" customHeight="1" x14ac:dyDescent="0.3">
      <c r="A2" s="1" t="s">
        <v>49</v>
      </c>
      <c r="B2" s="140" t="str">
        <f>'세부원가내역서(맞춤형)'!I2</f>
        <v>○○○○학교 20○○학년도 맞춤형 프로그램 운영 용역</v>
      </c>
      <c r="C2" s="140"/>
      <c r="D2" s="140"/>
      <c r="E2" s="140"/>
      <c r="F2" s="141"/>
    </row>
    <row r="3" spans="1:6" ht="54.95" customHeight="1" x14ac:dyDescent="0.3">
      <c r="A3" s="34" t="s">
        <v>14</v>
      </c>
      <c r="B3" s="128" t="s">
        <v>17</v>
      </c>
      <c r="C3" s="129"/>
      <c r="D3" s="130"/>
      <c r="E3" s="10" t="s">
        <v>15</v>
      </c>
      <c r="F3" s="35" t="s">
        <v>10</v>
      </c>
    </row>
    <row r="4" spans="1:6" ht="54.95" customHeight="1" x14ac:dyDescent="0.3">
      <c r="A4" s="36" t="s">
        <v>11</v>
      </c>
      <c r="B4" s="131" t="s">
        <v>80</v>
      </c>
      <c r="C4" s="132"/>
      <c r="D4" s="133"/>
      <c r="E4" s="30">
        <f>'세부원가내역서(맞춤형)'!M20</f>
        <v>12400000</v>
      </c>
      <c r="F4" s="37"/>
    </row>
    <row r="5" spans="1:6" ht="103.15" customHeight="1" x14ac:dyDescent="0.3">
      <c r="A5" s="138" t="s">
        <v>29</v>
      </c>
      <c r="B5" s="64" t="s">
        <v>81</v>
      </c>
      <c r="C5" s="11" t="s">
        <v>18</v>
      </c>
      <c r="D5" s="67">
        <f>'세부원가내역서(맞춤형)'!D15</f>
        <v>3.3E-3</v>
      </c>
      <c r="E5" s="30">
        <f>(E4-E4*F6)*D5</f>
        <v>34822.92</v>
      </c>
      <c r="F5" s="66" t="s">
        <v>44</v>
      </c>
    </row>
    <row r="6" spans="1:6" ht="51.6" customHeight="1" x14ac:dyDescent="0.3">
      <c r="A6" s="138"/>
      <c r="B6" s="142" t="s">
        <v>60</v>
      </c>
      <c r="C6" s="142"/>
      <c r="D6" s="142"/>
      <c r="E6" s="68" t="s">
        <v>58</v>
      </c>
      <c r="F6" s="93">
        <v>0.14899999999999999</v>
      </c>
    </row>
    <row r="7" spans="1:6" ht="67.900000000000006" customHeight="1" x14ac:dyDescent="0.3">
      <c r="A7" s="138"/>
      <c r="B7" s="64" t="s">
        <v>82</v>
      </c>
      <c r="C7" s="11" t="s">
        <v>18</v>
      </c>
      <c r="D7" s="67">
        <f>'세부원가내역서(맞춤형)'!F15</f>
        <v>8.0000000000000002E-3</v>
      </c>
      <c r="E7" s="30">
        <f>(E4-E4*F8)*D7</f>
        <v>84419.199999999997</v>
      </c>
      <c r="F7" s="66" t="s">
        <v>43</v>
      </c>
    </row>
    <row r="8" spans="1:6" ht="51" customHeight="1" x14ac:dyDescent="0.3">
      <c r="A8" s="138"/>
      <c r="B8" s="142" t="s">
        <v>59</v>
      </c>
      <c r="C8" s="142"/>
      <c r="D8" s="142"/>
      <c r="E8" s="68" t="s">
        <v>58</v>
      </c>
      <c r="F8" s="93">
        <v>0.14899999999999999</v>
      </c>
    </row>
    <row r="9" spans="1:6" ht="54.95" customHeight="1" x14ac:dyDescent="0.3">
      <c r="A9" s="138"/>
      <c r="B9" s="70" t="s">
        <v>27</v>
      </c>
      <c r="C9" s="11" t="s">
        <v>18</v>
      </c>
      <c r="D9" s="78">
        <f>'세부원가내역서(맞춤형)'!H15</f>
        <v>0.16980000000000001</v>
      </c>
      <c r="E9" s="30">
        <f>E10-E5-E7</f>
        <v>2105520</v>
      </c>
      <c r="F9" s="37"/>
    </row>
    <row r="10" spans="1:6" ht="54.95" customHeight="1" x14ac:dyDescent="0.3">
      <c r="A10" s="139"/>
      <c r="B10" s="131" t="s">
        <v>24</v>
      </c>
      <c r="C10" s="132"/>
      <c r="D10" s="133"/>
      <c r="E10" s="30">
        <f>'세부원가내역서(맞춤형)'!O20</f>
        <v>2224762.12</v>
      </c>
      <c r="F10" s="37"/>
    </row>
    <row r="11" spans="1:6" ht="54.95" customHeight="1" x14ac:dyDescent="0.3">
      <c r="A11" s="36" t="s">
        <v>12</v>
      </c>
      <c r="B11" s="11" t="s">
        <v>19</v>
      </c>
      <c r="C11" s="11" t="s">
        <v>18</v>
      </c>
      <c r="D11" s="13">
        <f>'세부원가내역서(맞춤형)'!J15</f>
        <v>0.06</v>
      </c>
      <c r="E11" s="30">
        <f>(E4+E10)*D11</f>
        <v>877485.72720000008</v>
      </c>
      <c r="F11" s="37"/>
    </row>
    <row r="12" spans="1:6" ht="54.95" customHeight="1" x14ac:dyDescent="0.3">
      <c r="A12" s="36" t="s">
        <v>16</v>
      </c>
      <c r="B12" s="11" t="s">
        <v>20</v>
      </c>
      <c r="C12" s="11" t="s">
        <v>18</v>
      </c>
      <c r="D12" s="13">
        <f>'세부원가내역서(맞춤형)'!K15</f>
        <v>0.1</v>
      </c>
      <c r="E12" s="30">
        <f>(E4+E10+E11)*D12</f>
        <v>1550224.7847200001</v>
      </c>
      <c r="F12" s="37"/>
    </row>
    <row r="13" spans="1:6" ht="54.95" customHeight="1" x14ac:dyDescent="0.3">
      <c r="A13" s="134" t="s">
        <v>51</v>
      </c>
      <c r="B13" s="132"/>
      <c r="C13" s="132"/>
      <c r="D13" s="133"/>
      <c r="E13" s="30">
        <f>ROUNDDOWN(E4+E10+E11+E12,0)</f>
        <v>17052472</v>
      </c>
      <c r="F13" s="38"/>
    </row>
    <row r="14" spans="1:6" ht="54.95" customHeight="1" thickBot="1" x14ac:dyDescent="0.35">
      <c r="A14" s="135" t="s">
        <v>22</v>
      </c>
      <c r="B14" s="136"/>
      <c r="C14" s="136"/>
      <c r="D14" s="137"/>
      <c r="E14" s="39">
        <f>ROUNDDOWN(E4+E10+E11+E12,-3)</f>
        <v>17052000</v>
      </c>
      <c r="F14" s="65" t="s">
        <v>13</v>
      </c>
    </row>
  </sheetData>
  <mergeCells count="10">
    <mergeCell ref="A13:D13"/>
    <mergeCell ref="A14:D14"/>
    <mergeCell ref="A1:F1"/>
    <mergeCell ref="B2:F2"/>
    <mergeCell ref="B3:D3"/>
    <mergeCell ref="B4:D4"/>
    <mergeCell ref="A5:A10"/>
    <mergeCell ref="B6:D6"/>
    <mergeCell ref="B8:D8"/>
    <mergeCell ref="B10:D10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zoomScale="70" zoomScaleNormal="70" workbookViewId="0">
      <selection activeCell="G22" sqref="G22"/>
    </sheetView>
  </sheetViews>
  <sheetFormatPr defaultRowHeight="16.5" x14ac:dyDescent="0.3"/>
  <cols>
    <col min="1" max="1" width="11.25" customWidth="1"/>
    <col min="2" max="2" width="25.5" customWidth="1"/>
    <col min="3" max="3" width="2.875" customWidth="1"/>
    <col min="4" max="4" width="11.375" customWidth="1"/>
    <col min="5" max="7" width="14.75" customWidth="1"/>
    <col min="8" max="8" width="11.25" customWidth="1"/>
  </cols>
  <sheetData>
    <row r="1" spans="1:8" ht="54.95" customHeight="1" x14ac:dyDescent="0.3">
      <c r="A1" s="171" t="s">
        <v>91</v>
      </c>
      <c r="B1" s="172"/>
      <c r="C1" s="172"/>
      <c r="D1" s="172"/>
      <c r="E1" s="172"/>
      <c r="F1" s="174"/>
      <c r="G1" s="174"/>
      <c r="H1" s="173"/>
    </row>
    <row r="2" spans="1:8" ht="54.95" customHeight="1" x14ac:dyDescent="0.3">
      <c r="A2" s="1" t="s">
        <v>49</v>
      </c>
      <c r="B2" s="175" t="s">
        <v>90</v>
      </c>
      <c r="C2" s="175"/>
      <c r="D2" s="175"/>
      <c r="E2" s="175"/>
      <c r="F2" s="176"/>
      <c r="G2" s="176"/>
      <c r="H2" s="177"/>
    </row>
    <row r="3" spans="1:8" ht="54.95" customHeight="1" x14ac:dyDescent="0.3">
      <c r="A3" s="34" t="s">
        <v>14</v>
      </c>
      <c r="B3" s="128" t="s">
        <v>17</v>
      </c>
      <c r="C3" s="129"/>
      <c r="D3" s="130"/>
      <c r="E3" s="10" t="s">
        <v>89</v>
      </c>
      <c r="F3" s="69" t="s">
        <v>84</v>
      </c>
      <c r="G3" s="69" t="s">
        <v>24</v>
      </c>
      <c r="H3" s="35" t="s">
        <v>10</v>
      </c>
    </row>
    <row r="4" spans="1:8" ht="29.25" customHeight="1" x14ac:dyDescent="0.3">
      <c r="A4" s="36" t="s">
        <v>11</v>
      </c>
      <c r="B4" s="131" t="s">
        <v>26</v>
      </c>
      <c r="C4" s="132"/>
      <c r="D4" s="133"/>
      <c r="E4" s="30">
        <f>'원가계산서(방과후학교,특기적성)'!E4</f>
        <v>92470200</v>
      </c>
      <c r="F4" s="79">
        <f>'원가계산서(맞춤형)'!E4</f>
        <v>12400000</v>
      </c>
      <c r="G4" s="79">
        <f>SUM(E4:F4)</f>
        <v>104870200</v>
      </c>
      <c r="H4" s="37"/>
    </row>
    <row r="5" spans="1:8" ht="29.25" customHeight="1" x14ac:dyDescent="0.3">
      <c r="A5" s="138" t="s">
        <v>29</v>
      </c>
      <c r="B5" s="64" t="s">
        <v>81</v>
      </c>
      <c r="C5" s="11" t="s">
        <v>18</v>
      </c>
      <c r="D5" s="78">
        <f>'세부원가내역서(맞춤형)'!D15</f>
        <v>3.3E-3</v>
      </c>
      <c r="E5" s="30">
        <f>'원가계산서(방과후학교,특기적성)'!E5</f>
        <v>259684.06266</v>
      </c>
      <c r="F5" s="79">
        <f>'원가계산서(맞춤형)'!E5</f>
        <v>34822.92</v>
      </c>
      <c r="G5" s="79">
        <f t="shared" ref="G5:G10" si="0">SUM(E5:F5)</f>
        <v>294506.98265999998</v>
      </c>
      <c r="H5" s="66"/>
    </row>
    <row r="6" spans="1:8" ht="29.25" customHeight="1" x14ac:dyDescent="0.3">
      <c r="A6" s="138"/>
      <c r="B6" s="64" t="s">
        <v>82</v>
      </c>
      <c r="C6" s="11" t="s">
        <v>18</v>
      </c>
      <c r="D6" s="78">
        <f>'세부원가내역서(맞춤형)'!F15</f>
        <v>8.0000000000000002E-3</v>
      </c>
      <c r="E6" s="30">
        <f>'원가계산서(방과후학교,특기적성)'!E7</f>
        <v>629537.12160000007</v>
      </c>
      <c r="F6" s="79">
        <f>'원가계산서(맞춤형)'!E7</f>
        <v>84419.199999999997</v>
      </c>
      <c r="G6" s="79">
        <f t="shared" si="0"/>
        <v>713956.32160000002</v>
      </c>
      <c r="H6" s="66"/>
    </row>
    <row r="7" spans="1:8" ht="29.25" customHeight="1" x14ac:dyDescent="0.3">
      <c r="A7" s="138"/>
      <c r="B7" s="64" t="s">
        <v>50</v>
      </c>
      <c r="C7" s="11" t="s">
        <v>18</v>
      </c>
      <c r="D7" s="78" t="s">
        <v>62</v>
      </c>
      <c r="E7" s="30">
        <f>'원가계산서(방과후학교,특기적성)'!E9</f>
        <v>7352414.1502168281</v>
      </c>
      <c r="F7" s="79">
        <f>'원가계산서(맞춤형)'!E9</f>
        <v>2105520</v>
      </c>
      <c r="G7" s="79">
        <f t="shared" si="0"/>
        <v>9457934.150216829</v>
      </c>
      <c r="H7" s="37"/>
    </row>
    <row r="8" spans="1:8" ht="29.25" customHeight="1" x14ac:dyDescent="0.3">
      <c r="A8" s="139"/>
      <c r="B8" s="131" t="s">
        <v>61</v>
      </c>
      <c r="C8" s="132"/>
      <c r="D8" s="133"/>
      <c r="E8" s="30">
        <f>SUM(E5:E7)</f>
        <v>8241635.3344768286</v>
      </c>
      <c r="F8" s="30">
        <f>SUM(F5:F7)</f>
        <v>2224762.12</v>
      </c>
      <c r="G8" s="30">
        <f>SUM(G5:G7)</f>
        <v>10466397.45447683</v>
      </c>
      <c r="H8" s="37"/>
    </row>
    <row r="9" spans="1:8" ht="29.25" customHeight="1" x14ac:dyDescent="0.3">
      <c r="A9" s="36" t="s">
        <v>12</v>
      </c>
      <c r="B9" s="11" t="s">
        <v>19</v>
      </c>
      <c r="C9" s="11" t="s">
        <v>18</v>
      </c>
      <c r="D9" s="13" t="s">
        <v>62</v>
      </c>
      <c r="E9" s="30">
        <f>'원가계산서(방과후학교,특기적성)'!E11</f>
        <v>6042710.1200686097</v>
      </c>
      <c r="F9" s="79">
        <f>'원가계산서(맞춤형)'!E11</f>
        <v>877485.72720000008</v>
      </c>
      <c r="G9" s="79">
        <f t="shared" si="0"/>
        <v>6920195.8472686093</v>
      </c>
      <c r="H9" s="37"/>
    </row>
    <row r="10" spans="1:8" ht="29.25" customHeight="1" x14ac:dyDescent="0.3">
      <c r="A10" s="36" t="s">
        <v>16</v>
      </c>
      <c r="B10" s="11" t="s">
        <v>20</v>
      </c>
      <c r="C10" s="11" t="s">
        <v>18</v>
      </c>
      <c r="D10" s="13" t="s">
        <v>62</v>
      </c>
      <c r="E10" s="30">
        <f>'원가계산서(방과후학교,특기적성)'!E12</f>
        <v>10675454.545454545</v>
      </c>
      <c r="F10" s="79">
        <f>'원가계산서(맞춤형)'!E12</f>
        <v>1550224.7847200001</v>
      </c>
      <c r="G10" s="79">
        <f t="shared" si="0"/>
        <v>12225679.330174545</v>
      </c>
      <c r="H10" s="37"/>
    </row>
    <row r="11" spans="1:8" ht="29.25" customHeight="1" x14ac:dyDescent="0.3">
      <c r="A11" s="134" t="s">
        <v>51</v>
      </c>
      <c r="B11" s="132"/>
      <c r="C11" s="132"/>
      <c r="D11" s="133"/>
      <c r="E11" s="30">
        <f>ROUNDDOWN(E4+E8+E9+E10,0)</f>
        <v>117430000</v>
      </c>
      <c r="F11" s="30">
        <f t="shared" ref="F11:G11" si="1">ROUNDDOWN(F4+F8+F9+F10,0)</f>
        <v>17052472</v>
      </c>
      <c r="G11" s="30">
        <f t="shared" si="1"/>
        <v>134482472</v>
      </c>
      <c r="H11" s="38"/>
    </row>
    <row r="12" spans="1:8" ht="34.5" customHeight="1" thickBot="1" x14ac:dyDescent="0.35">
      <c r="A12" s="135" t="s">
        <v>57</v>
      </c>
      <c r="B12" s="136"/>
      <c r="C12" s="136"/>
      <c r="D12" s="137"/>
      <c r="E12" s="39">
        <f>ROUNDDOWN(E4+E8+E9+E10,-3)</f>
        <v>117430000</v>
      </c>
      <c r="F12" s="39">
        <f t="shared" ref="F12" si="2">ROUNDDOWN(F4+F8+F9+F10,-3)</f>
        <v>17052000</v>
      </c>
      <c r="G12" s="39">
        <f>ROUNDDOWN(G4+G8+G9+G10,-3)</f>
        <v>134482000</v>
      </c>
      <c r="H12" s="80" t="s">
        <v>52</v>
      </c>
    </row>
  </sheetData>
  <mergeCells count="8">
    <mergeCell ref="A11:D11"/>
    <mergeCell ref="A12:D12"/>
    <mergeCell ref="A1:H1"/>
    <mergeCell ref="B2:H2"/>
    <mergeCell ref="B3:D3"/>
    <mergeCell ref="B4:D4"/>
    <mergeCell ref="A5:A8"/>
    <mergeCell ref="B8:D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세부원가내역서(방과후학교,특기적성)</vt:lpstr>
      <vt:lpstr>원가계산서(방과후학교,특기적성)</vt:lpstr>
      <vt:lpstr>세부원가내역서(맞춤형)</vt:lpstr>
      <vt:lpstr>원가계산서(맞춤형)</vt:lpstr>
      <vt:lpstr>원가계산서(합산)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2021-11-05T06:34:11Z</cp:lastPrinted>
  <dcterms:created xsi:type="dcterms:W3CDTF">2016-01-08T00:00:48Z</dcterms:created>
  <dcterms:modified xsi:type="dcterms:W3CDTF">2026-01-05T04:48:53Z</dcterms:modified>
</cp:coreProperties>
</file>