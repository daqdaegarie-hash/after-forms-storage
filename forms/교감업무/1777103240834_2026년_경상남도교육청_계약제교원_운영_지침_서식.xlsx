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백업파일_20190104\2025 교감업무도움자료_제출용\채용 관련\1. 계약제교원 채용\2025 계약제교원 운영 지침\"/>
    </mc:Choice>
  </mc:AlternateContent>
  <bookViews>
    <workbookView xWindow="28680" yWindow="-120" windowWidth="29040" windowHeight="15720" tabRatio="810"/>
  </bookViews>
  <sheets>
    <sheet name="목록" sheetId="40" r:id="rId1"/>
    <sheet name="서식3" sheetId="42" r:id="rId2"/>
    <sheet name="서식3_학교" sheetId="41" r:id="rId3"/>
    <sheet name="서식4-1(유)" sheetId="43" r:id="rId4"/>
    <sheet name="서식4-1(초,특수)" sheetId="24" r:id="rId5"/>
    <sheet name="서식4-1(중,고)" sheetId="25" r:id="rId6"/>
    <sheet name="서식4-2(유)" sheetId="46" r:id="rId7"/>
    <sheet name="서식4-2(초,특수)" sheetId="26" r:id="rId8"/>
    <sheet name="서식4-2(중,고)" sheetId="27" r:id="rId9"/>
    <sheet name="서식4-2(내역서)" sheetId="28" r:id="rId10"/>
    <sheet name="서식4-3(유)" sheetId="44" r:id="rId11"/>
    <sheet name="서식4-3(초,특수)" sheetId="29" r:id="rId12"/>
    <sheet name="서식4-3(중,고)" sheetId="31" r:id="rId13"/>
    <sheet name="서식4-4(유)_학교" sheetId="47" r:id="rId14"/>
    <sheet name="서식4-4(초,특수)_학교" sheetId="32" r:id="rId15"/>
    <sheet name="서식4-4(중,고)_학교" sheetId="33" r:id="rId16"/>
    <sheet name="서식4-4(내역서_평균임금)" sheetId="48" r:id="rId17"/>
    <sheet name="서식4-4(내역서_통상임금)" sheetId="50" r:id="rId18"/>
    <sheet name="별도서식(퇴직금 지급대장)" sheetId="49" r:id="rId19"/>
    <sheet name="서식4-5(유)" sheetId="45" r:id="rId20"/>
    <sheet name="서식4-5(초,특수)" sheetId="35" r:id="rId21"/>
    <sheet name="서식4-5(중,고)" sheetId="36" r:id="rId22"/>
    <sheet name="서식4-6" sheetId="38" r:id="rId23"/>
    <sheet name="서식4-6(내역서)" sheetId="39" r:id="rId24"/>
  </sheets>
  <definedNames>
    <definedName name="_xlnm.Print_Area" localSheetId="3">'서식4-1(유)'!#REF!</definedName>
    <definedName name="_xlnm.Print_Area" localSheetId="4">'서식4-1(초,특수)'!#REF!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" i="25" l="1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O9" i="25"/>
  <c r="O8" i="25"/>
  <c r="O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7" i="25"/>
  <c r="J24" i="24"/>
  <c r="O23" i="24"/>
  <c r="J23" i="24"/>
  <c r="J22" i="24"/>
  <c r="J21" i="24"/>
  <c r="J20" i="24"/>
  <c r="J19" i="24"/>
  <c r="J18" i="24"/>
  <c r="J17" i="24"/>
  <c r="J16" i="24"/>
  <c r="O15" i="24"/>
  <c r="J15" i="24"/>
  <c r="O14" i="24"/>
  <c r="J14" i="24"/>
  <c r="J13" i="24"/>
  <c r="O12" i="24"/>
  <c r="J12" i="24"/>
  <c r="O11" i="24"/>
  <c r="J11" i="24"/>
  <c r="J10" i="24"/>
  <c r="O9" i="24"/>
  <c r="J9" i="24"/>
  <c r="O8" i="24"/>
  <c r="J8" i="24"/>
  <c r="O7" i="24"/>
  <c r="J7" i="24"/>
  <c r="L6" i="50"/>
  <c r="M11" i="50" s="1"/>
  <c r="I15" i="50" s="1"/>
  <c r="M15" i="50" s="1"/>
  <c r="W7" i="50" l="1"/>
  <c r="T7" i="50"/>
  <c r="X7" i="50" s="1"/>
  <c r="W6" i="50"/>
  <c r="T6" i="50"/>
  <c r="X6" i="50" s="1"/>
  <c r="W5" i="50"/>
  <c r="T5" i="50"/>
  <c r="X5" i="50" s="1"/>
  <c r="U9" i="50" s="1"/>
  <c r="K25" i="45"/>
  <c r="J25" i="45"/>
  <c r="I25" i="45"/>
  <c r="H25" i="45"/>
  <c r="G25" i="45"/>
  <c r="F25" i="45"/>
  <c r="M24" i="45"/>
  <c r="L24" i="45"/>
  <c r="M23" i="45"/>
  <c r="L23" i="45"/>
  <c r="M22" i="45"/>
  <c r="L22" i="45"/>
  <c r="M21" i="45"/>
  <c r="L21" i="45"/>
  <c r="M20" i="45"/>
  <c r="L20" i="45"/>
  <c r="M19" i="45"/>
  <c r="L19" i="45"/>
  <c r="M18" i="45"/>
  <c r="L18" i="45"/>
  <c r="M17" i="45"/>
  <c r="L17" i="45"/>
  <c r="M16" i="45"/>
  <c r="L16" i="45"/>
  <c r="M15" i="45"/>
  <c r="L15" i="45"/>
  <c r="M14" i="45"/>
  <c r="L14" i="45"/>
  <c r="M13" i="45"/>
  <c r="L13" i="45"/>
  <c r="M12" i="45"/>
  <c r="L12" i="45"/>
  <c r="M11" i="45"/>
  <c r="L11" i="45"/>
  <c r="M10" i="45"/>
  <c r="L10" i="45"/>
  <c r="M9" i="45"/>
  <c r="L9" i="45"/>
  <c r="M8" i="45"/>
  <c r="L8" i="45"/>
  <c r="M7" i="45"/>
  <c r="M25" i="45" s="1"/>
  <c r="L7" i="45"/>
  <c r="L25" i="45" s="1"/>
  <c r="I25" i="44" l="1"/>
  <c r="H25" i="44"/>
  <c r="G25" i="44"/>
  <c r="F25" i="44"/>
  <c r="K24" i="44"/>
  <c r="J24" i="44"/>
  <c r="K23" i="44"/>
  <c r="J23" i="44"/>
  <c r="K22" i="44"/>
  <c r="J22" i="44"/>
  <c r="K21" i="44"/>
  <c r="J21" i="44"/>
  <c r="K20" i="44"/>
  <c r="J20" i="44"/>
  <c r="K19" i="44"/>
  <c r="J19" i="44"/>
  <c r="K18" i="44"/>
  <c r="J18" i="44"/>
  <c r="K17" i="44"/>
  <c r="J17" i="44"/>
  <c r="K16" i="44"/>
  <c r="J16" i="44"/>
  <c r="K15" i="44"/>
  <c r="J15" i="44"/>
  <c r="K14" i="44"/>
  <c r="J14" i="44"/>
  <c r="K13" i="44"/>
  <c r="J13" i="44"/>
  <c r="K12" i="44"/>
  <c r="J12" i="44"/>
  <c r="K11" i="44"/>
  <c r="J11" i="44"/>
  <c r="K10" i="44"/>
  <c r="J10" i="44"/>
  <c r="K9" i="44"/>
  <c r="J9" i="44"/>
  <c r="K8" i="44"/>
  <c r="J8" i="44"/>
  <c r="K7" i="44"/>
  <c r="K25" i="44" s="1"/>
  <c r="J7" i="44"/>
  <c r="J25" i="44" s="1"/>
  <c r="T25" i="25" l="1"/>
  <c r="S25" i="25"/>
  <c r="R25" i="25"/>
  <c r="Q25" i="25"/>
  <c r="N25" i="25"/>
  <c r="O25" i="25" s="1"/>
  <c r="M25" i="25"/>
  <c r="L25" i="25"/>
  <c r="K25" i="25"/>
  <c r="I25" i="25"/>
  <c r="J25" i="25" s="1"/>
  <c r="H25" i="25"/>
  <c r="G25" i="25"/>
  <c r="F25" i="25"/>
  <c r="V24" i="25"/>
  <c r="U24" i="25"/>
  <c r="P24" i="25"/>
  <c r="W24" i="25" s="1"/>
  <c r="W23" i="25"/>
  <c r="V23" i="25"/>
  <c r="U23" i="25"/>
  <c r="P23" i="25"/>
  <c r="W22" i="25"/>
  <c r="V22" i="25"/>
  <c r="U22" i="25"/>
  <c r="P22" i="25"/>
  <c r="V21" i="25"/>
  <c r="U21" i="25"/>
  <c r="P21" i="25"/>
  <c r="W21" i="25" s="1"/>
  <c r="W20" i="25"/>
  <c r="V20" i="25"/>
  <c r="U20" i="25"/>
  <c r="P20" i="25"/>
  <c r="W19" i="25"/>
  <c r="V19" i="25"/>
  <c r="U19" i="25"/>
  <c r="P19" i="25"/>
  <c r="V18" i="25"/>
  <c r="U18" i="25"/>
  <c r="P18" i="25"/>
  <c r="W18" i="25" s="1"/>
  <c r="W17" i="25"/>
  <c r="V17" i="25"/>
  <c r="U17" i="25"/>
  <c r="P17" i="25"/>
  <c r="W16" i="25"/>
  <c r="V16" i="25"/>
  <c r="U16" i="25"/>
  <c r="P16" i="25"/>
  <c r="V15" i="25"/>
  <c r="U15" i="25"/>
  <c r="P15" i="25"/>
  <c r="W15" i="25" s="1"/>
  <c r="W14" i="25"/>
  <c r="V14" i="25"/>
  <c r="U14" i="25"/>
  <c r="P14" i="25"/>
  <c r="W13" i="25"/>
  <c r="V13" i="25"/>
  <c r="U13" i="25"/>
  <c r="P13" i="25"/>
  <c r="V12" i="25"/>
  <c r="U12" i="25"/>
  <c r="P12" i="25"/>
  <c r="W12" i="25" s="1"/>
  <c r="W11" i="25"/>
  <c r="V11" i="25"/>
  <c r="U11" i="25"/>
  <c r="P11" i="25"/>
  <c r="W10" i="25"/>
  <c r="V10" i="25"/>
  <c r="U10" i="25"/>
  <c r="P10" i="25"/>
  <c r="V9" i="25"/>
  <c r="U9" i="25"/>
  <c r="P9" i="25"/>
  <c r="W9" i="25" s="1"/>
  <c r="W8" i="25"/>
  <c r="V8" i="25"/>
  <c r="U8" i="25"/>
  <c r="P8" i="25"/>
  <c r="W7" i="25"/>
  <c r="V7" i="25"/>
  <c r="V25" i="25" s="1"/>
  <c r="U7" i="25"/>
  <c r="U25" i="25" s="1"/>
  <c r="P7" i="25"/>
  <c r="P25" i="25" s="1"/>
  <c r="T25" i="24"/>
  <c r="S25" i="24"/>
  <c r="R25" i="24"/>
  <c r="Q25" i="24"/>
  <c r="N25" i="24"/>
  <c r="O25" i="24" s="1"/>
  <c r="M25" i="24"/>
  <c r="L25" i="24"/>
  <c r="K25" i="24"/>
  <c r="I25" i="24"/>
  <c r="H25" i="24"/>
  <c r="G25" i="24"/>
  <c r="J25" i="24" s="1"/>
  <c r="F25" i="24"/>
  <c r="V24" i="24"/>
  <c r="U24" i="24"/>
  <c r="P24" i="24"/>
  <c r="W24" i="24" s="1"/>
  <c r="W23" i="24"/>
  <c r="V23" i="24"/>
  <c r="U23" i="24"/>
  <c r="P23" i="24"/>
  <c r="V22" i="24"/>
  <c r="U22" i="24"/>
  <c r="P22" i="24"/>
  <c r="W22" i="24" s="1"/>
  <c r="V21" i="24"/>
  <c r="U21" i="24"/>
  <c r="P21" i="24"/>
  <c r="W21" i="24" s="1"/>
  <c r="V20" i="24"/>
  <c r="U20" i="24"/>
  <c r="P20" i="24"/>
  <c r="W20" i="24" s="1"/>
  <c r="V19" i="24"/>
  <c r="U19" i="24"/>
  <c r="P19" i="24"/>
  <c r="W19" i="24" s="1"/>
  <c r="V18" i="24"/>
  <c r="U18" i="24"/>
  <c r="P18" i="24"/>
  <c r="W18" i="24" s="1"/>
  <c r="V17" i="24"/>
  <c r="U17" i="24"/>
  <c r="P17" i="24"/>
  <c r="W17" i="24" s="1"/>
  <c r="V16" i="24"/>
  <c r="U16" i="24"/>
  <c r="P16" i="24"/>
  <c r="W16" i="24" s="1"/>
  <c r="V15" i="24"/>
  <c r="U15" i="24"/>
  <c r="P15" i="24"/>
  <c r="W15" i="24" s="1"/>
  <c r="V14" i="24"/>
  <c r="U14" i="24"/>
  <c r="P14" i="24"/>
  <c r="W14" i="24" s="1"/>
  <c r="V13" i="24"/>
  <c r="U13" i="24"/>
  <c r="P13" i="24"/>
  <c r="W13" i="24" s="1"/>
  <c r="V12" i="24"/>
  <c r="U12" i="24"/>
  <c r="P12" i="24"/>
  <c r="W12" i="24" s="1"/>
  <c r="V11" i="24"/>
  <c r="U11" i="24"/>
  <c r="P11" i="24"/>
  <c r="W11" i="24" s="1"/>
  <c r="V10" i="24"/>
  <c r="U10" i="24"/>
  <c r="P10" i="24"/>
  <c r="W10" i="24" s="1"/>
  <c r="V9" i="24"/>
  <c r="U9" i="24"/>
  <c r="P9" i="24"/>
  <c r="W9" i="24" s="1"/>
  <c r="W8" i="24"/>
  <c r="V8" i="24"/>
  <c r="U8" i="24"/>
  <c r="P8" i="24"/>
  <c r="V7" i="24"/>
  <c r="U7" i="24"/>
  <c r="U25" i="24" s="1"/>
  <c r="P7" i="24"/>
  <c r="W7" i="24" s="1"/>
  <c r="S25" i="43"/>
  <c r="R25" i="43"/>
  <c r="P25" i="43"/>
  <c r="O25" i="43"/>
  <c r="N25" i="43"/>
  <c r="M25" i="43"/>
  <c r="L25" i="43"/>
  <c r="Q25" i="43" s="1"/>
  <c r="K25" i="43"/>
  <c r="I25" i="43"/>
  <c r="H25" i="43"/>
  <c r="G25" i="43"/>
  <c r="F25" i="43"/>
  <c r="S24" i="43"/>
  <c r="R24" i="43"/>
  <c r="Q24" i="43"/>
  <c r="J24" i="43"/>
  <c r="R23" i="43"/>
  <c r="Q23" i="43"/>
  <c r="J23" i="43"/>
  <c r="S23" i="43" s="1"/>
  <c r="S22" i="43"/>
  <c r="R22" i="43"/>
  <c r="Q22" i="43"/>
  <c r="J22" i="43"/>
  <c r="S21" i="43"/>
  <c r="R21" i="43"/>
  <c r="Q21" i="43"/>
  <c r="J21" i="43"/>
  <c r="S20" i="43"/>
  <c r="R20" i="43"/>
  <c r="Q20" i="43"/>
  <c r="J20" i="43"/>
  <c r="S19" i="43"/>
  <c r="R19" i="43"/>
  <c r="Q19" i="43"/>
  <c r="J19" i="43"/>
  <c r="S18" i="43"/>
  <c r="R18" i="43"/>
  <c r="Q18" i="43"/>
  <c r="J18" i="43"/>
  <c r="S17" i="43"/>
  <c r="R17" i="43"/>
  <c r="Q17" i="43"/>
  <c r="J17" i="43"/>
  <c r="S16" i="43"/>
  <c r="R16" i="43"/>
  <c r="Q16" i="43"/>
  <c r="J16" i="43"/>
  <c r="S15" i="43"/>
  <c r="R15" i="43"/>
  <c r="Q15" i="43"/>
  <c r="J15" i="43"/>
  <c r="S14" i="43"/>
  <c r="R14" i="43"/>
  <c r="Q14" i="43"/>
  <c r="J14" i="43"/>
  <c r="S13" i="43"/>
  <c r="R13" i="43"/>
  <c r="Q13" i="43"/>
  <c r="J13" i="43"/>
  <c r="S12" i="43"/>
  <c r="R12" i="43"/>
  <c r="Q12" i="43"/>
  <c r="J12" i="43"/>
  <c r="S11" i="43"/>
  <c r="R11" i="43"/>
  <c r="Q11" i="43"/>
  <c r="J11" i="43"/>
  <c r="S10" i="43"/>
  <c r="R10" i="43"/>
  <c r="Q10" i="43"/>
  <c r="J10" i="43"/>
  <c r="S9" i="43"/>
  <c r="R9" i="43"/>
  <c r="Q9" i="43"/>
  <c r="J9" i="43"/>
  <c r="S8" i="43"/>
  <c r="R8" i="43"/>
  <c r="Q8" i="43"/>
  <c r="J8" i="43"/>
  <c r="R7" i="43"/>
  <c r="Q7" i="43"/>
  <c r="J7" i="43"/>
  <c r="S7" i="43" s="1"/>
  <c r="W25" i="24" l="1"/>
  <c r="V25" i="24"/>
  <c r="W25" i="25"/>
  <c r="P25" i="24"/>
  <c r="J25" i="43"/>
  <c r="D10" i="28" l="1"/>
  <c r="L6" i="28"/>
  <c r="K6" i="28"/>
  <c r="I6" i="28"/>
  <c r="K5" i="28"/>
  <c r="I5" i="28"/>
  <c r="L5" i="28" s="1"/>
  <c r="L10" i="28" s="1"/>
  <c r="L7" i="27"/>
  <c r="K7" i="27"/>
  <c r="L7" i="26"/>
  <c r="K7" i="26"/>
  <c r="H7" i="46"/>
  <c r="G7" i="46"/>
  <c r="H7" i="32" l="1"/>
  <c r="G7" i="32"/>
  <c r="H26" i="35"/>
  <c r="G26" i="35"/>
  <c r="F26" i="35"/>
  <c r="E26" i="35"/>
  <c r="J25" i="35"/>
  <c r="I25" i="35"/>
  <c r="J24" i="35"/>
  <c r="I24" i="35"/>
  <c r="J23" i="35"/>
  <c r="I23" i="35"/>
  <c r="J22" i="35"/>
  <c r="I22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I26" i="35" l="1"/>
  <c r="J26" i="35"/>
  <c r="I25" i="29"/>
  <c r="H25" i="29"/>
  <c r="G25" i="29"/>
  <c r="F25" i="29"/>
  <c r="K24" i="29"/>
  <c r="J24" i="29"/>
  <c r="K23" i="29"/>
  <c r="J23" i="29"/>
  <c r="K22" i="29"/>
  <c r="J22" i="29"/>
  <c r="K21" i="29"/>
  <c r="J21" i="29"/>
  <c r="K20" i="29"/>
  <c r="J20" i="29"/>
  <c r="K19" i="29"/>
  <c r="J19" i="29"/>
  <c r="K18" i="29"/>
  <c r="J18" i="29"/>
  <c r="K17" i="29"/>
  <c r="J17" i="29"/>
  <c r="K16" i="29"/>
  <c r="J16" i="29"/>
  <c r="K15" i="29"/>
  <c r="J15" i="29"/>
  <c r="K14" i="29"/>
  <c r="J14" i="29"/>
  <c r="K13" i="29"/>
  <c r="J13" i="29"/>
  <c r="K12" i="29"/>
  <c r="J12" i="29"/>
  <c r="K11" i="29"/>
  <c r="J11" i="29"/>
  <c r="K10" i="29"/>
  <c r="J10" i="29"/>
  <c r="K9" i="29"/>
  <c r="J9" i="29"/>
  <c r="K8" i="29"/>
  <c r="J8" i="29"/>
  <c r="K7" i="29"/>
  <c r="J7" i="29"/>
  <c r="J25" i="29" l="1"/>
  <c r="K25" i="29"/>
  <c r="L21" i="48" l="1"/>
  <c r="L20" i="48"/>
  <c r="L19" i="48"/>
  <c r="L18" i="48"/>
  <c r="J16" i="48"/>
  <c r="H16" i="48"/>
  <c r="F16" i="48"/>
  <c r="D16" i="48"/>
  <c r="L15" i="48"/>
  <c r="L14" i="48"/>
  <c r="L13" i="48"/>
  <c r="L12" i="48"/>
  <c r="L11" i="48"/>
  <c r="L10" i="48"/>
  <c r="L9" i="48"/>
  <c r="L8" i="48"/>
  <c r="L6" i="48"/>
  <c r="L22" i="48" l="1"/>
  <c r="L16" i="48"/>
  <c r="L23" i="48" s="1"/>
  <c r="L24" i="48" s="1"/>
  <c r="H7" i="47" l="1"/>
  <c r="G7" i="47"/>
  <c r="E10" i="39" l="1"/>
  <c r="L7" i="39"/>
  <c r="L8" i="39"/>
  <c r="L6" i="39"/>
  <c r="L9" i="39"/>
  <c r="L5" i="39"/>
  <c r="G5" i="38"/>
  <c r="I5" i="38" s="1"/>
  <c r="I25" i="36"/>
  <c r="H25" i="36"/>
  <c r="G25" i="36"/>
  <c r="F25" i="36"/>
  <c r="K24" i="36"/>
  <c r="J24" i="36"/>
  <c r="K23" i="36"/>
  <c r="J23" i="36"/>
  <c r="K22" i="36"/>
  <c r="J22" i="36"/>
  <c r="K21" i="36"/>
  <c r="J21" i="36"/>
  <c r="K20" i="36"/>
  <c r="J20" i="36"/>
  <c r="K19" i="36"/>
  <c r="J19" i="36"/>
  <c r="K18" i="36"/>
  <c r="J18" i="36"/>
  <c r="K17" i="36"/>
  <c r="J17" i="36"/>
  <c r="K16" i="36"/>
  <c r="J16" i="36"/>
  <c r="K15" i="36"/>
  <c r="J15" i="36"/>
  <c r="K14" i="36"/>
  <c r="J14" i="36"/>
  <c r="K13" i="36"/>
  <c r="J13" i="36"/>
  <c r="K12" i="36"/>
  <c r="J12" i="36"/>
  <c r="K11" i="36"/>
  <c r="J11" i="36"/>
  <c r="K10" i="36"/>
  <c r="J10" i="36"/>
  <c r="K9" i="36"/>
  <c r="J9" i="36"/>
  <c r="K8" i="36"/>
  <c r="J8" i="36"/>
  <c r="K7" i="36"/>
  <c r="J7" i="36"/>
  <c r="J25" i="36" l="1"/>
  <c r="L10" i="39"/>
  <c r="K25" i="36"/>
  <c r="H7" i="33"/>
  <c r="G7" i="33"/>
  <c r="J8" i="31"/>
  <c r="K8" i="31"/>
  <c r="J9" i="31"/>
  <c r="K9" i="31"/>
  <c r="J10" i="31"/>
  <c r="K10" i="31"/>
  <c r="J11" i="31"/>
  <c r="K11" i="31"/>
  <c r="J12" i="31"/>
  <c r="K12" i="31"/>
  <c r="J13" i="31"/>
  <c r="K13" i="31"/>
  <c r="J14" i="31"/>
  <c r="K14" i="31"/>
  <c r="J15" i="31"/>
  <c r="K15" i="31"/>
  <c r="J16" i="31"/>
  <c r="K16" i="31"/>
  <c r="J17" i="31"/>
  <c r="K17" i="31"/>
  <c r="J18" i="31"/>
  <c r="K18" i="31"/>
  <c r="J19" i="31"/>
  <c r="K19" i="31"/>
  <c r="J20" i="31"/>
  <c r="K20" i="31"/>
  <c r="J21" i="31"/>
  <c r="K21" i="31"/>
  <c r="J22" i="31"/>
  <c r="K22" i="31"/>
  <c r="J23" i="31"/>
  <c r="K23" i="31"/>
  <c r="J24" i="31"/>
  <c r="K24" i="31"/>
  <c r="K7" i="31"/>
  <c r="J7" i="31"/>
  <c r="F25" i="31"/>
  <c r="G25" i="31"/>
  <c r="I25" i="31"/>
  <c r="H25" i="31"/>
  <c r="K25" i="31" l="1"/>
  <c r="J25" i="31"/>
</calcChain>
</file>

<file path=xl/comments1.xml><?xml version="1.0" encoding="utf-8"?>
<comments xmlns="http://schemas.openxmlformats.org/spreadsheetml/2006/main">
  <authors>
    <author>user</author>
  </authors>
  <commentList>
    <comment ref="F5" authorId="0" shapeId="0">
      <text>
        <r>
          <rPr>
            <b/>
            <sz val="9"/>
            <color indexed="81"/>
            <rFont val="돋움"/>
            <family val="3"/>
            <charset val="129"/>
          </rPr>
          <t>교사의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장기재직휴가로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결원대체강사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인건비가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U9" authorId="0" shapeId="0">
      <text>
        <r>
          <rPr>
            <b/>
            <sz val="9"/>
            <color indexed="81"/>
            <rFont val="돋움"/>
            <family val="3"/>
            <charset val="129"/>
          </rPr>
          <t>통상임금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산정내역
성과상여금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지급총액에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<sst xmlns="http://schemas.openxmlformats.org/spreadsheetml/2006/main" count="892" uniqueCount="324">
  <si>
    <t>순</t>
  </si>
  <si>
    <t>지역</t>
  </si>
  <si>
    <t>총인원수</t>
  </si>
  <si>
    <t>합계
(c=a+b)</t>
  </si>
  <si>
    <t>유치원</t>
  </si>
  <si>
    <t>초등학교</t>
  </si>
  <si>
    <t>계
(a)</t>
  </si>
  <si>
    <t>계
(b)</t>
  </si>
  <si>
    <t>인원수</t>
  </si>
  <si>
    <t>요구액</t>
  </si>
  <si>
    <t>창원</t>
  </si>
  <si>
    <t>진주</t>
  </si>
  <si>
    <t>통영</t>
  </si>
  <si>
    <t>사천</t>
  </si>
  <si>
    <t>김해</t>
  </si>
  <si>
    <t>밀양</t>
  </si>
  <si>
    <t>거제</t>
  </si>
  <si>
    <t>양산</t>
  </si>
  <si>
    <t>의령</t>
  </si>
  <si>
    <t>함안</t>
  </si>
  <si>
    <t>창녕</t>
  </si>
  <si>
    <t>고성</t>
  </si>
  <si>
    <t>하동</t>
  </si>
  <si>
    <t>산청</t>
  </si>
  <si>
    <t>함양</t>
  </si>
  <si>
    <t>합천</t>
  </si>
  <si>
    <t>합계</t>
    <phoneticPr fontId="35" type="noConversion"/>
  </si>
  <si>
    <t>특수학교</t>
    <phoneticPr fontId="35" type="noConversion"/>
  </si>
  <si>
    <t>인원수</t>
    <phoneticPr fontId="35" type="noConversion"/>
  </si>
  <si>
    <t>요구액</t>
    <phoneticPr fontId="35" type="noConversion"/>
  </si>
  <si>
    <t>남해</t>
  </si>
  <si>
    <t>유치원방과후과정
(시간제근무기간제)</t>
    <phoneticPr fontId="35" type="noConversion"/>
  </si>
  <si>
    <t>(단위:명, 천원)</t>
    <phoneticPr fontId="35" type="noConversion"/>
  </si>
  <si>
    <t>거창</t>
  </si>
  <si>
    <t>결원대체강사수당</t>
    <phoneticPr fontId="35" type="noConversion"/>
  </si>
  <si>
    <t>중학교</t>
    <phoneticPr fontId="35" type="noConversion"/>
  </si>
  <si>
    <t>고등학교</t>
    <phoneticPr fontId="35" type="noConversion"/>
  </si>
  <si>
    <t>학교명</t>
  </si>
  <si>
    <t>계</t>
  </si>
  <si>
    <t xml:space="preserve">  </t>
  </si>
  <si>
    <t>기간제교사인건비</t>
    <phoneticPr fontId="35" type="noConversion"/>
  </si>
  <si>
    <t>(단위:명, 원)</t>
    <phoneticPr fontId="35" type="noConversion"/>
  </si>
  <si>
    <t>(단위: 원)</t>
    <phoneticPr fontId="35" type="noConversion"/>
  </si>
  <si>
    <t xml:space="preserve">학교명 </t>
  </si>
  <si>
    <t xml:space="preserve">임용구분 </t>
  </si>
  <si>
    <t xml:space="preserve">성명 </t>
  </si>
  <si>
    <t xml:space="preserve">단가 </t>
  </si>
  <si>
    <t xml:space="preserve">수당 </t>
  </si>
  <si>
    <t>지급금액</t>
  </si>
  <si>
    <t xml:space="preserve">비고 </t>
  </si>
  <si>
    <t>전일제강사</t>
    <phoneticPr fontId="35" type="noConversion"/>
  </si>
  <si>
    <t>20  . 00월 결원대체강사 수당 요구내역서</t>
    <phoneticPr fontId="48" type="noConversion"/>
  </si>
  <si>
    <t>20  . 00월 결원대체강사 수당 세부내역서</t>
    <phoneticPr fontId="48" type="noConversion"/>
  </si>
  <si>
    <t>00초등학교</t>
    <phoneticPr fontId="35" type="noConversion"/>
  </si>
  <si>
    <t>예시</t>
    <phoneticPr fontId="35" type="noConversion"/>
  </si>
  <si>
    <t>00중학교</t>
    <phoneticPr fontId="35" type="noConversion"/>
  </si>
  <si>
    <t>채용사유</t>
    <phoneticPr fontId="35" type="noConversion"/>
  </si>
  <si>
    <t>채용기간</t>
    <phoneticPr fontId="35" type="noConversion"/>
  </si>
  <si>
    <t>000교사 결원대체</t>
    <phoneticPr fontId="35" type="noConversion"/>
  </si>
  <si>
    <t>0000.00.00.~0000.00.00.</t>
    <phoneticPr fontId="35" type="noConversion"/>
  </si>
  <si>
    <t>실제
근무일수
(시수)</t>
    <phoneticPr fontId="35" type="noConversion"/>
  </si>
  <si>
    <t>주휴
일수
(시간)</t>
    <phoneticPr fontId="35" type="noConversion"/>
  </si>
  <si>
    <t>주휴
수당</t>
    <phoneticPr fontId="35" type="noConversion"/>
  </si>
  <si>
    <t>※ 작성요령 및 유의사항은 경상남도교육청 계약제교원 운영 지침 참고</t>
    <phoneticPr fontId="35" type="noConversion"/>
  </si>
  <si>
    <t>20  . 00월 계약제교원 퇴직금 요구내역서</t>
    <phoneticPr fontId="35" type="noConversion"/>
  </si>
  <si>
    <t>계</t>
    <phoneticPr fontId="35" type="noConversion"/>
  </si>
  <si>
    <t>인원수</t>
    <phoneticPr fontId="35" type="noConversion"/>
  </si>
  <si>
    <t>요구액</t>
    <phoneticPr fontId="35" type="noConversion"/>
  </si>
  <si>
    <t>OOO</t>
    <phoneticPr fontId="35" type="noConversion"/>
  </si>
  <si>
    <t>학교명</t>
    <phoneticPr fontId="35" type="noConversion"/>
  </si>
  <si>
    <t>평균임금 산정내역</t>
  </si>
  <si>
    <t>근무기간</t>
  </si>
  <si>
    <t>00.00.00~00</t>
  </si>
  <si>
    <t>수당명</t>
  </si>
  <si>
    <t>퇴직 전 3개월간 지급 금액</t>
  </si>
  <si>
    <t>퇴직금</t>
  </si>
  <si>
    <t>퇴직 전 1년간 지급 금액</t>
    <phoneticPr fontId="35" type="noConversion"/>
  </si>
  <si>
    <t>월정
임금</t>
    <phoneticPr fontId="35" type="noConversion"/>
  </si>
  <si>
    <t>비월정
임금</t>
    <phoneticPr fontId="35" type="noConversion"/>
  </si>
  <si>
    <r>
      <t>퇴직일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굴림"/>
        <family val="3"/>
        <charset val="129"/>
      </rPr>
      <t>계약종료일</t>
    </r>
    <r>
      <rPr>
        <sz val="10"/>
        <color rgb="FF000000"/>
        <rFont val="맑은 고딕"/>
        <family val="3"/>
        <charset val="129"/>
        <scheme val="minor"/>
      </rPr>
      <t>): 0000.00.00</t>
    </r>
  </si>
  <si>
    <r>
      <t>× 3</t>
    </r>
    <r>
      <rPr>
        <sz val="10"/>
        <color rgb="FF000000"/>
        <rFont val="굴림"/>
        <family val="3"/>
        <charset val="129"/>
      </rPr>
      <t xml:space="preserve">월 </t>
    </r>
    <r>
      <rPr>
        <sz val="10"/>
        <color rgb="FF000000"/>
        <rFont val="맑은 고딕"/>
        <family val="3"/>
        <charset val="129"/>
        <scheme val="minor"/>
      </rPr>
      <t>÷ 12</t>
    </r>
    <r>
      <rPr>
        <sz val="10"/>
        <color rgb="FF000000"/>
        <rFont val="굴림"/>
        <family val="3"/>
        <charset val="129"/>
      </rPr>
      <t xml:space="preserve">월 </t>
    </r>
    <r>
      <rPr>
        <sz val="10"/>
        <color rgb="FF000000"/>
        <rFont val="맑은 고딕"/>
        <family val="3"/>
        <charset val="129"/>
        <scheme val="minor"/>
      </rPr>
      <t>=</t>
    </r>
  </si>
  <si>
    <r>
      <t>일 평균임금</t>
    </r>
    <r>
      <rPr>
        <sz val="10"/>
        <color rgb="FF000000"/>
        <rFont val="맑은 고딕"/>
        <family val="3"/>
        <charset val="129"/>
        <scheme val="minor"/>
      </rPr>
      <t>(D)</t>
    </r>
  </si>
  <si>
    <r>
      <t>생년월일</t>
    </r>
    <r>
      <rPr>
        <sz val="10"/>
        <color rgb="FF000000"/>
        <rFont val="맑은 고딕"/>
        <family val="3"/>
        <charset val="129"/>
        <scheme val="minor"/>
      </rPr>
      <t>:</t>
    </r>
    <phoneticPr fontId="35" type="noConversion"/>
  </si>
  <si>
    <r>
      <t>학교명</t>
    </r>
    <r>
      <rPr>
        <sz val="10"/>
        <color rgb="FF000000"/>
        <rFont val="맑은 고딕"/>
        <family val="3"/>
        <charset val="129"/>
        <scheme val="minor"/>
      </rPr>
      <t xml:space="preserve">: </t>
    </r>
    <phoneticPr fontId="35" type="noConversion"/>
  </si>
  <si>
    <r>
      <t>직위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굴림"/>
        <family val="3"/>
        <charset val="129"/>
      </rPr>
      <t>직급</t>
    </r>
    <r>
      <rPr>
        <sz val="10"/>
        <color rgb="FF000000"/>
        <rFont val="맑은 고딕"/>
        <family val="3"/>
        <charset val="129"/>
        <scheme val="minor"/>
      </rPr>
      <t>):</t>
    </r>
    <phoneticPr fontId="35" type="noConversion"/>
  </si>
  <si>
    <t>소 계(B)</t>
    <phoneticPr fontId="35" type="noConversion"/>
  </si>
  <si>
    <t>근무일수(A)</t>
    <phoneticPr fontId="35" type="noConversion"/>
  </si>
  <si>
    <t>(D) × 30일 × 근무기간 =
※근무기간: 근무연수 + 1년 미만 근무일수 ÷ 365일</t>
    <phoneticPr fontId="35" type="noConversion"/>
  </si>
  <si>
    <t xml:space="preserve">소계 (C) </t>
    <phoneticPr fontId="35" type="noConversion"/>
  </si>
  <si>
    <t>{(B) + (C) }÷ (A) =</t>
    <phoneticPr fontId="35" type="noConversion"/>
  </si>
  <si>
    <r>
      <t>근무기간</t>
    </r>
    <r>
      <rPr>
        <sz val="10"/>
        <color rgb="FF000000"/>
        <rFont val="맑은 고딕"/>
        <family val="3"/>
        <charset val="129"/>
        <scheme val="minor"/>
      </rPr>
      <t>: 0000.00.00 ~ 0000.00.00</t>
    </r>
    <phoneticPr fontId="35" type="noConversion"/>
  </si>
  <si>
    <t>일</t>
    <phoneticPr fontId="35" type="noConversion"/>
  </si>
  <si>
    <t>년</t>
    <phoneticPr fontId="35" type="noConversion"/>
  </si>
  <si>
    <r>
      <t>성명</t>
    </r>
    <r>
      <rPr>
        <sz val="10"/>
        <color rgb="FF000000"/>
        <rFont val="맑은 고딕"/>
        <family val="3"/>
        <charset val="129"/>
        <scheme val="minor"/>
      </rPr>
      <t xml:space="preserve">: </t>
    </r>
    <phoneticPr fontId="35" type="noConversion"/>
  </si>
  <si>
    <t>20  . 00월 계약제교원 보험료 요구내역서</t>
    <phoneticPr fontId="35" type="noConversion"/>
  </si>
  <si>
    <t>20  . 00월 계약제교원 보험료 요구내역서</t>
    <phoneticPr fontId="48" type="noConversion"/>
  </si>
  <si>
    <t xml:space="preserve">구분 </t>
  </si>
  <si>
    <t xml:space="preserve">인원 </t>
  </si>
  <si>
    <t xml:space="preserve">0000년
교부액(A) </t>
    <phoneticPr fontId="35" type="noConversion"/>
  </si>
  <si>
    <t xml:space="preserve">0000년
집행액(B) </t>
    <phoneticPr fontId="35" type="noConversion"/>
  </si>
  <si>
    <t xml:space="preserve">집행잔액
(C=A-B) </t>
    <phoneticPr fontId="35" type="noConversion"/>
  </si>
  <si>
    <t>당월요구액
(D)</t>
    <phoneticPr fontId="35" type="noConversion"/>
  </si>
  <si>
    <t xml:space="preserve">요구액
(E=D-C) </t>
    <phoneticPr fontId="35" type="noConversion"/>
  </si>
  <si>
    <t xml:space="preserve">급여액 </t>
  </si>
  <si>
    <t xml:space="preserve">계 </t>
  </si>
  <si>
    <t>산재
보험</t>
    <phoneticPr fontId="35" type="noConversion"/>
  </si>
  <si>
    <t>고용
보험</t>
    <phoneticPr fontId="35" type="noConversion"/>
  </si>
  <si>
    <t>장기요양
보험</t>
    <phoneticPr fontId="35" type="noConversion"/>
  </si>
  <si>
    <t>건강
보험</t>
    <phoneticPr fontId="35" type="noConversion"/>
  </si>
  <si>
    <t>국민
연금</t>
    <phoneticPr fontId="35" type="noConversion"/>
  </si>
  <si>
    <t>직위
(직급)</t>
    <phoneticPr fontId="35" type="noConversion"/>
  </si>
  <si>
    <t>20  . 00월 계약제교원 보험료 세부내역서</t>
    <phoneticPr fontId="48" type="noConversion"/>
  </si>
  <si>
    <t>계약제교원 인건비 요구 관련 서식 목록</t>
    <phoneticPr fontId="35" type="noConversion"/>
  </si>
  <si>
    <t>순</t>
    <phoneticPr fontId="35" type="noConversion"/>
  </si>
  <si>
    <t>서식명</t>
    <phoneticPr fontId="35" type="noConversion"/>
  </si>
  <si>
    <t>서식번호</t>
    <phoneticPr fontId="35" type="noConversion"/>
  </si>
  <si>
    <t>사용기관</t>
    <phoneticPr fontId="35" type="noConversion"/>
  </si>
  <si>
    <t>비고</t>
    <phoneticPr fontId="35" type="noConversion"/>
  </si>
  <si>
    <t>4-1</t>
    <phoneticPr fontId="35" type="noConversion"/>
  </si>
  <si>
    <t>계약제교원 인건비 요구내역서</t>
  </si>
  <si>
    <t>중,고</t>
    <phoneticPr fontId="35" type="noConversion"/>
  </si>
  <si>
    <t>결원대체강사 수당 요구내역서</t>
  </si>
  <si>
    <t>4-2</t>
    <phoneticPr fontId="35" type="noConversion"/>
  </si>
  <si>
    <t>결원대체강사 수당 세부내역서</t>
    <phoneticPr fontId="35" type="noConversion"/>
  </si>
  <si>
    <t>계약제교원 퇴직금 요구내역서</t>
  </si>
  <si>
    <t>4-3</t>
    <phoneticPr fontId="35" type="noConversion"/>
  </si>
  <si>
    <t>4-4</t>
    <phoneticPr fontId="35" type="noConversion"/>
  </si>
  <si>
    <t>4-5</t>
    <phoneticPr fontId="35" type="noConversion"/>
  </si>
  <si>
    <t>계약제교원 보험료 요구내역서</t>
    <phoneticPr fontId="35" type="noConversion"/>
  </si>
  <si>
    <t>4-6</t>
    <phoneticPr fontId="35" type="noConversion"/>
  </si>
  <si>
    <t>계약제교원 보험료 세부내역서</t>
    <phoneticPr fontId="35" type="noConversion"/>
  </si>
  <si>
    <t xml:space="preserve">       구분
소속</t>
    <phoneticPr fontId="35" type="noConversion"/>
  </si>
  <si>
    <t>대 상 교 원</t>
    <phoneticPr fontId="35" type="noConversion"/>
  </si>
  <si>
    <t>기 간 제 교 원</t>
    <phoneticPr fontId="35" type="noConversion"/>
  </si>
  <si>
    <t>직</t>
    <phoneticPr fontId="35" type="noConversion"/>
  </si>
  <si>
    <t>성명</t>
    <phoneticPr fontId="35" type="noConversion"/>
  </si>
  <si>
    <t>담임여부</t>
    <phoneticPr fontId="35" type="noConversion"/>
  </si>
  <si>
    <t>과목</t>
    <phoneticPr fontId="35" type="noConversion"/>
  </si>
  <si>
    <t>사유</t>
    <phoneticPr fontId="35" type="noConversion"/>
  </si>
  <si>
    <t>기간</t>
    <phoneticPr fontId="35" type="noConversion"/>
  </si>
  <si>
    <t>생년월일</t>
    <phoneticPr fontId="35" type="noConversion"/>
  </si>
  <si>
    <t>임용구분</t>
    <phoneticPr fontId="35" type="noConversion"/>
  </si>
  <si>
    <t>소지자격</t>
    <phoneticPr fontId="35" type="noConversion"/>
  </si>
  <si>
    <t>임용기간</t>
    <phoneticPr fontId="35" type="noConversion"/>
  </si>
  <si>
    <r>
      <t>호봉</t>
    </r>
    <r>
      <rPr>
        <sz val="11"/>
        <rFont val="맑은 고딕"/>
        <family val="3"/>
        <charset val="129"/>
        <scheme val="minor"/>
      </rPr>
      <t xml:space="preserve"> 또는
수당구분 </t>
    </r>
    <phoneticPr fontId="35" type="noConversion"/>
  </si>
  <si>
    <t>명예퇴직
교원여부</t>
    <phoneticPr fontId="35" type="noConversion"/>
  </si>
  <si>
    <t>임용대기자
여부</t>
    <phoneticPr fontId="35" type="noConversion"/>
  </si>
  <si>
    <t>인력풀
등재자
채용여부</t>
    <phoneticPr fontId="35" type="noConversion"/>
  </si>
  <si>
    <t>∼
(  일간)
(  시간)</t>
    <phoneticPr fontId="35" type="noConversion"/>
  </si>
  <si>
    <t>시간제
전일제
기간제</t>
    <phoneticPr fontId="35" type="noConversion"/>
  </si>
  <si>
    <t>9호봉
가호
나호</t>
    <phoneticPr fontId="35" type="noConversion"/>
  </si>
  <si>
    <t>X</t>
    <phoneticPr fontId="35" type="noConversion"/>
  </si>
  <si>
    <t>○</t>
    <phoneticPr fontId="35" type="noConversion"/>
  </si>
  <si>
    <t>계약제교원 임용현황</t>
    <phoneticPr fontId="35" type="noConversion"/>
  </si>
  <si>
    <t>○○학교</t>
    <phoneticPr fontId="35" type="noConversion"/>
  </si>
  <si>
    <t>○ 작성 참고사항</t>
    <phoneticPr fontId="35" type="noConversion"/>
  </si>
  <si>
    <t>경남</t>
    <phoneticPr fontId="35" type="noConversion"/>
  </si>
  <si>
    <t>결 원 교 원</t>
    <phoneticPr fontId="35" type="noConversion"/>
  </si>
  <si>
    <t>지역</t>
    <phoneticPr fontId="35" type="noConversion"/>
  </si>
  <si>
    <t>학교급</t>
    <phoneticPr fontId="35" type="noConversion"/>
  </si>
  <si>
    <t>공사립</t>
    <phoneticPr fontId="35" type="noConversion"/>
  </si>
  <si>
    <t>공립</t>
    <phoneticPr fontId="35" type="noConversion"/>
  </si>
  <si>
    <t>초</t>
    <phoneticPr fontId="35" type="noConversion"/>
  </si>
  <si>
    <t>창원</t>
    <phoneticPr fontId="35" type="noConversion"/>
  </si>
  <si>
    <t xml:space="preserve">         구분
소속</t>
    <phoneticPr fontId="35" type="noConversion"/>
  </si>
  <si>
    <t>계약제교원 임용 현황</t>
    <phoneticPr fontId="35" type="noConversion"/>
  </si>
  <si>
    <t>초,특</t>
    <phoneticPr fontId="35" type="noConversion"/>
  </si>
  <si>
    <t>유</t>
    <phoneticPr fontId="35" type="noConversion"/>
  </si>
  <si>
    <t>유</t>
    <phoneticPr fontId="35" type="noConversion"/>
  </si>
  <si>
    <t>초,특</t>
    <phoneticPr fontId="35" type="noConversion"/>
  </si>
  <si>
    <t>초,특</t>
    <phoneticPr fontId="35" type="noConversion"/>
  </si>
  <si>
    <t>유</t>
    <phoneticPr fontId="35" type="noConversion"/>
  </si>
  <si>
    <t>계약제교원 퇴직금</t>
    <phoneticPr fontId="35" type="noConversion"/>
  </si>
  <si>
    <t>계약제교원 보험료</t>
    <phoneticPr fontId="35" type="noConversion"/>
  </si>
  <si>
    <t>유</t>
    <phoneticPr fontId="35" type="noConversion"/>
  </si>
  <si>
    <t>초,특</t>
    <phoneticPr fontId="35" type="noConversion"/>
  </si>
  <si>
    <t>계약제교원 퇴직금</t>
    <phoneticPr fontId="35" type="noConversion"/>
  </si>
  <si>
    <t>유</t>
    <phoneticPr fontId="35" type="noConversion"/>
  </si>
  <si>
    <t>9호봉</t>
    <phoneticPr fontId="35" type="noConversion"/>
  </si>
  <si>
    <t>시간제
기간제</t>
    <phoneticPr fontId="35" type="noConversion"/>
  </si>
  <si>
    <t xml:space="preserve">   2. 명예퇴직교원인 경우 사유서 첨부하여 제출</t>
    <phoneticPr fontId="35" type="noConversion"/>
  </si>
  <si>
    <t xml:space="preserve">   3. 임용대기자 여부 : 임용시험 합격후 대기자 여부(합격 시도 표기)</t>
    <phoneticPr fontId="35" type="noConversion"/>
  </si>
  <si>
    <r>
      <t xml:space="preserve">   4. 인력풀 등재자 채용여부</t>
    </r>
    <r>
      <rPr>
        <b/>
        <sz val="11"/>
        <color theme="1"/>
        <rFont val="맑은 고딕"/>
        <family val="3"/>
        <charset val="129"/>
        <scheme val="minor"/>
      </rPr>
      <t>(반드시 표기할 것)</t>
    </r>
    <r>
      <rPr>
        <sz val="11"/>
        <color theme="1"/>
        <rFont val="맑은 고딕"/>
        <family val="2"/>
        <charset val="129"/>
        <scheme val="minor"/>
      </rPr>
      <t xml:space="preserve"> : 인력풀 홈페이지 등록자 여부( ○, X 표시)</t>
    </r>
    <phoneticPr fontId="35" type="noConversion"/>
  </si>
  <si>
    <t xml:space="preserve">   5. 대상교사의 사유가 2건 이상인 경우 각각 계약 후 임용보고</t>
    <phoneticPr fontId="35" type="noConversion"/>
  </si>
  <si>
    <t xml:space="preserve">   7. 서식변경 금지</t>
    <phoneticPr fontId="35" type="noConversion"/>
  </si>
  <si>
    <t xml:space="preserve">   1. 기간제교원만 임용현황을 보고할 것</t>
    <phoneticPr fontId="35" type="noConversion"/>
  </si>
  <si>
    <t xml:space="preserve">   6. 임용기간: 역에 의한 계산방법으로 기간 산정</t>
    <phoneticPr fontId="35" type="noConversion"/>
  </si>
  <si>
    <t xml:space="preserve">   6. 임용기간: 기간제교원은 임용기간이 1개월 이상인 자로서 역에 의한 계산방법으로 기간 산정</t>
    <phoneticPr fontId="35" type="noConversion"/>
  </si>
  <si>
    <t xml:space="preserve">   1. 기간제교원, 결원대체강사(전일제강사, 시간강사)의 임용현황을 보고할 것</t>
    <phoneticPr fontId="35" type="noConversion"/>
  </si>
  <si>
    <t>교육지원청→도교육청</t>
    <phoneticPr fontId="35" type="noConversion"/>
  </si>
  <si>
    <t>교육지원청→도교육청</t>
    <phoneticPr fontId="35" type="noConversion"/>
  </si>
  <si>
    <t>학교→교육지원청</t>
    <phoneticPr fontId="35" type="noConversion"/>
  </si>
  <si>
    <t>담임배정사유</t>
    <phoneticPr fontId="35" type="noConversion"/>
  </si>
  <si>
    <t>전화번호</t>
    <phoneticPr fontId="35" type="noConversion"/>
  </si>
  <si>
    <t>담당부서</t>
    <phoneticPr fontId="35" type="noConversion"/>
  </si>
  <si>
    <t>담당자</t>
    <phoneticPr fontId="35" type="noConversion"/>
  </si>
  <si>
    <t xml:space="preserve">   9. 서식변경 금지</t>
    <phoneticPr fontId="35" type="noConversion"/>
  </si>
  <si>
    <t xml:space="preserve">   7. 담임배정사유: 정규교원이 있음에도 담임으로 배정한 사유 상세 기재</t>
    <phoneticPr fontId="35" type="noConversion"/>
  </si>
  <si>
    <t>과목 : 기타/인건비/인건비/근로자인건비/계약제교원인건비/기간제교원관리(320-13)</t>
    <phoneticPr fontId="35" type="noConversion"/>
  </si>
  <si>
    <t>과목 : 기타/인건비/인건비/근로자인건비/계약제교원인건비/기간제교사인건비,4대보험(320-13)</t>
    <phoneticPr fontId="35" type="noConversion"/>
  </si>
  <si>
    <t xml:space="preserve">   2. 다른 급별 과목별 자격증 소지자, 정년퇴직자, 명예퇴직교원 채용할 경우 사유서 첨부하여 제출</t>
    <phoneticPr fontId="35" type="noConversion"/>
  </si>
  <si>
    <t>기간제교원 퇴직금 접수 및 지급대장</t>
  </si>
  <si>
    <t>기관명</t>
  </si>
  <si>
    <t>성명</t>
  </si>
  <si>
    <t>생년월일</t>
  </si>
  <si>
    <t>지급 금융기관</t>
  </si>
  <si>
    <t>금번 정산기간</t>
  </si>
  <si>
    <t>종전퇴직금</t>
  </si>
  <si>
    <t>정산기간</t>
  </si>
  <si>
    <t>(해당 시)</t>
  </si>
  <si>
    <t>평균임금(원)</t>
  </si>
  <si>
    <t>퇴직금액(원)</t>
  </si>
  <si>
    <t>청구사유</t>
  </si>
  <si>
    <t>시작일</t>
  </si>
  <si>
    <t>종료일</t>
  </si>
  <si>
    <t>은행명</t>
  </si>
  <si>
    <t>(계좌번호:00-OO-000 예금주)</t>
  </si>
  <si>
    <t>퇴직[ ]</t>
  </si>
  <si>
    <t>중간정산[ ]</t>
  </si>
  <si>
    <t>※ 종전퇴직금 정산기간은 이전에 퇴직금을 중간정산하였을 경우 작성</t>
  </si>
  <si>
    <t>지급일</t>
    <phoneticPr fontId="35" type="noConversion"/>
  </si>
  <si>
    <t>별도서식</t>
    <phoneticPr fontId="35" type="noConversion"/>
  </si>
  <si>
    <t>학교</t>
    <phoneticPr fontId="35" type="noConversion"/>
  </si>
  <si>
    <t>유,초,중,특,고</t>
    <phoneticPr fontId="35" type="noConversion"/>
  </si>
  <si>
    <t>퇴직금 지급 대장</t>
    <phoneticPr fontId="35" type="noConversion"/>
  </si>
  <si>
    <t>※ 지급 계좌의 예금주는 반드시 본인명의여야 함</t>
    <phoneticPr fontId="35" type="noConversion"/>
  </si>
  <si>
    <t>※ 해당 서식은 학교별로 지급 인원, 방법에 따라 자유롭게 수정하여 사용 가능</t>
    <phoneticPr fontId="35" type="noConversion"/>
  </si>
  <si>
    <t>※ 평균임금은 퇴직 전 3개월 임금으로 산정</t>
    <phoneticPr fontId="35" type="noConversion"/>
  </si>
  <si>
    <t>※ 단절된 기간이 있더라도 최종퇴직시 퇴직일로부터 3년간의 이전 근무 기간을 합산하여 1년 이상일 경우 퇴직금 지급(동일 학교, 기관만 합산)</t>
    <phoneticPr fontId="35" type="noConversion"/>
  </si>
  <si>
    <t xml:space="preserve">   8. 하나의 시트에 누적 보고(월별 작성 아님)</t>
    <phoneticPr fontId="35" type="noConversion"/>
  </si>
  <si>
    <t>담당
부서</t>
    <phoneticPr fontId="35" type="noConversion"/>
  </si>
  <si>
    <t>기간제교사 인건비</t>
    <phoneticPr fontId="35" type="noConversion"/>
  </si>
  <si>
    <t>합계
(c=a+b)</t>
    <phoneticPr fontId="35" type="noConversion"/>
  </si>
  <si>
    <t>유치원방과후과정(특수)
(시간제근무기간제)</t>
    <phoneticPr fontId="35" type="noConversion"/>
  </si>
  <si>
    <t>계
(b)</t>
    <phoneticPr fontId="35" type="noConversion"/>
  </si>
  <si>
    <t>2025년 기간제교원 임용현황</t>
    <phoneticPr fontId="35" type="noConversion"/>
  </si>
  <si>
    <t>개인별 퇴직금 산정 내역서(평균임금)</t>
    <phoneticPr fontId="35" type="noConversion"/>
  </si>
  <si>
    <t>유치원
(장기재직휴가 사용분만 기재)</t>
    <phoneticPr fontId="35" type="noConversion"/>
  </si>
  <si>
    <t>유치원
(장기재직휴가 외)</t>
    <phoneticPr fontId="35" type="noConversion"/>
  </si>
  <si>
    <t>00유치원</t>
    <phoneticPr fontId="35" type="noConversion"/>
  </si>
  <si>
    <t>* 장기재직휴가 사용분만 따로 명시, 그 외는 변경 없음</t>
    <phoneticPr fontId="35" type="noConversion"/>
  </si>
  <si>
    <t>초등학교
(장기재직휴가 사용분만 기재)</t>
    <phoneticPr fontId="35" type="noConversion"/>
  </si>
  <si>
    <t>초등학교
(장기재직휴가 외)</t>
    <phoneticPr fontId="35" type="noConversion"/>
  </si>
  <si>
    <t>특수학교
(장기재직휴가 사용분만 기재)</t>
    <phoneticPr fontId="35" type="noConversion"/>
  </si>
  <si>
    <t>특수학교
(장기재직휴가 외)</t>
    <phoneticPr fontId="35" type="noConversion"/>
  </si>
  <si>
    <t>중학교
(장기재직휴가 사용분만 기재)</t>
    <phoneticPr fontId="35" type="noConversion"/>
  </si>
  <si>
    <t>중학교
(장기재직휴가 외)</t>
    <phoneticPr fontId="35" type="noConversion"/>
  </si>
  <si>
    <t>고등학교
(장기재직휴가 사용분만 기재)</t>
    <phoneticPr fontId="35" type="noConversion"/>
  </si>
  <si>
    <t>고등학교
(장기재직휴가 외)</t>
    <phoneticPr fontId="35" type="noConversion"/>
  </si>
  <si>
    <t>000교사 장기재직휴가</t>
    <phoneticPr fontId="35" type="noConversion"/>
  </si>
  <si>
    <t>20  년   월  차 계약제교원 인건비 재배정 요구서(유치원)</t>
    <phoneticPr fontId="35" type="noConversion"/>
  </si>
  <si>
    <t>* 서식변경, 행 삭제 금지(담당자 변경되었을 경우 이름만 변경)</t>
    <phoneticPr fontId="35" type="noConversion"/>
  </si>
  <si>
    <r>
      <t xml:space="preserve">초등학교
</t>
    </r>
    <r>
      <rPr>
        <sz val="9"/>
        <rFont val="굴림체"/>
        <family val="3"/>
        <charset val="129"/>
      </rPr>
      <t>(장기재직휴가 사용분만 기재)</t>
    </r>
    <phoneticPr fontId="35" type="noConversion"/>
  </si>
  <si>
    <r>
      <t xml:space="preserve">초등학교
</t>
    </r>
    <r>
      <rPr>
        <sz val="10"/>
        <rFont val="굴림체"/>
        <family val="3"/>
        <charset val="129"/>
      </rPr>
      <t>(장기재직휴가 외)</t>
    </r>
    <phoneticPr fontId="35" type="noConversion"/>
  </si>
  <si>
    <r>
      <t xml:space="preserve">특수학교
</t>
    </r>
    <r>
      <rPr>
        <sz val="10"/>
        <rFont val="굴림체"/>
        <family val="3"/>
        <charset val="129"/>
      </rPr>
      <t>(장기재직휴가 외)</t>
    </r>
    <phoneticPr fontId="35" type="noConversion"/>
  </si>
  <si>
    <t>거제</t>
    <phoneticPr fontId="35" type="noConversion"/>
  </si>
  <si>
    <r>
      <t xml:space="preserve">중학교
</t>
    </r>
    <r>
      <rPr>
        <sz val="9"/>
        <rFont val="굴림체"/>
        <family val="3"/>
        <charset val="129"/>
      </rPr>
      <t>(장기재직휴가 사용분만 기재)</t>
    </r>
    <phoneticPr fontId="35" type="noConversion"/>
  </si>
  <si>
    <r>
      <t xml:space="preserve">중학교
</t>
    </r>
    <r>
      <rPr>
        <sz val="10"/>
        <rFont val="굴림체"/>
        <family val="3"/>
        <charset val="129"/>
      </rPr>
      <t>(장기재직휴가 외)</t>
    </r>
    <phoneticPr fontId="35" type="noConversion"/>
  </si>
  <si>
    <r>
      <t xml:space="preserve">고등학교
</t>
    </r>
    <r>
      <rPr>
        <sz val="9"/>
        <rFont val="굴림체"/>
        <family val="3"/>
        <charset val="129"/>
      </rPr>
      <t>(장기재직휴가 사용분만 기재)</t>
    </r>
    <phoneticPr fontId="35" type="noConversion"/>
  </si>
  <si>
    <r>
      <t xml:space="preserve">고등학교
</t>
    </r>
    <r>
      <rPr>
        <sz val="10"/>
        <rFont val="굴림체"/>
        <family val="3"/>
        <charset val="129"/>
      </rPr>
      <t>(장기재직휴가 외)</t>
    </r>
    <phoneticPr fontId="35" type="noConversion"/>
  </si>
  <si>
    <t>소계</t>
    <phoneticPr fontId="35" type="noConversion"/>
  </si>
  <si>
    <r>
      <t xml:space="preserve">특수학교
</t>
    </r>
    <r>
      <rPr>
        <sz val="9"/>
        <rFont val="굴림체"/>
        <family val="3"/>
        <charset val="129"/>
      </rPr>
      <t>(장기재직휴가 사용분만 기재)</t>
    </r>
    <phoneticPr fontId="35" type="noConversion"/>
  </si>
  <si>
    <t>20  년   월  차 계약제교원 인건비 재배정 내역서(초·특수)</t>
    <phoneticPr fontId="35" type="noConversion"/>
  </si>
  <si>
    <r>
      <rPr>
        <b/>
        <sz val="10"/>
        <rFont val="굴림"/>
        <family val="3"/>
        <charset val="129"/>
      </rPr>
      <t>유치원</t>
    </r>
    <r>
      <rPr>
        <sz val="10"/>
        <rFont val="굴림"/>
        <family val="3"/>
        <charset val="129"/>
      </rPr>
      <t xml:space="preserve">
(장기재직휴가 사용분만 기재)</t>
    </r>
    <phoneticPr fontId="35" type="noConversion"/>
  </si>
  <si>
    <r>
      <rPr>
        <b/>
        <sz val="10"/>
        <rFont val="굴림"/>
        <family val="3"/>
        <charset val="129"/>
      </rPr>
      <t>유치원</t>
    </r>
    <r>
      <rPr>
        <sz val="10"/>
        <rFont val="굴림"/>
        <family val="3"/>
        <charset val="129"/>
      </rPr>
      <t xml:space="preserve">
(장기재직휴가 외)</t>
    </r>
    <phoneticPr fontId="35" type="noConversion"/>
  </si>
  <si>
    <t>개인별 퇴직금 산정 내역서(통상임금)</t>
    <phoneticPr fontId="35" type="noConversion"/>
  </si>
  <si>
    <t xml:space="preserve"> 0000.00.00 ~ 0000.00.00</t>
    <phoneticPr fontId="35" type="noConversion"/>
  </si>
  <si>
    <t>근무기간</t>
    <phoneticPr fontId="35" type="noConversion"/>
  </si>
  <si>
    <t>통상임금 산정내역</t>
    <phoneticPr fontId="35" type="noConversion"/>
  </si>
  <si>
    <t>1일 통상임금(A)</t>
    <phoneticPr fontId="35" type="noConversion"/>
  </si>
  <si>
    <t>구분</t>
    <phoneticPr fontId="35" type="noConversion"/>
  </si>
  <si>
    <t>항목</t>
    <phoneticPr fontId="35" type="noConversion"/>
  </si>
  <si>
    <t>금액(원)</t>
    <phoneticPr fontId="35" type="noConversion"/>
  </si>
  <si>
    <r>
      <t xml:space="preserve">퇴직전
마지막
근무일 기준 </t>
    </r>
    <r>
      <rPr>
        <b/>
        <u/>
        <sz val="10"/>
        <color rgb="FF0000FF"/>
        <rFont val="굴림"/>
        <family val="3"/>
        <charset val="129"/>
      </rPr>
      <t>월</t>
    </r>
    <r>
      <rPr>
        <b/>
        <sz val="10"/>
        <color rgb="FF000000"/>
        <rFont val="굴림"/>
        <family val="3"/>
        <charset val="129"/>
      </rPr>
      <t xml:space="preserve">급여액
</t>
    </r>
    <r>
      <rPr>
        <b/>
        <sz val="10"/>
        <color rgb="FF0000FF"/>
        <rFont val="굴림"/>
        <family val="3"/>
        <charset val="129"/>
      </rPr>
      <t>※ 정기적(매월), 일률적으로 지급되는 임금(가족수당과 시간외수당 초과분 제외</t>
    </r>
    <r>
      <rPr>
        <b/>
        <sz val="10"/>
        <color rgb="FF000000"/>
        <rFont val="굴림"/>
        <family val="3"/>
        <charset val="129"/>
      </rPr>
      <t>)</t>
    </r>
    <phoneticPr fontId="35" type="noConversion"/>
  </si>
  <si>
    <t>1년 지급
총액</t>
    <phoneticPr fontId="35" type="noConversion"/>
  </si>
  <si>
    <t>정근수당</t>
    <phoneticPr fontId="35" type="noConversion"/>
  </si>
  <si>
    <t>명절휴가비</t>
    <phoneticPr fontId="35" type="noConversion"/>
  </si>
  <si>
    <t>성과상여금*</t>
    <phoneticPr fontId="35" type="noConversion"/>
  </si>
  <si>
    <t>기본급</t>
    <phoneticPr fontId="35" type="noConversion"/>
  </si>
  <si>
    <t>정액급식비</t>
    <phoneticPr fontId="35" type="noConversion"/>
  </si>
  <si>
    <t>교직수당</t>
    <phoneticPr fontId="35" type="noConversion"/>
  </si>
  <si>
    <t>교직수당가산금</t>
    <phoneticPr fontId="35" type="noConversion"/>
  </si>
  <si>
    <t>정근수당가산금</t>
    <phoneticPr fontId="35" type="noConversion"/>
  </si>
  <si>
    <t>정근수당추가가산금</t>
    <phoneticPr fontId="35" type="noConversion"/>
  </si>
  <si>
    <t>교원연구비</t>
    <phoneticPr fontId="35" type="noConversion"/>
  </si>
  <si>
    <t>복식수업수당</t>
    <phoneticPr fontId="35" type="noConversion"/>
  </si>
  <si>
    <t>도서벽지수당</t>
    <phoneticPr fontId="35" type="noConversion"/>
  </si>
  <si>
    <t>순회교원수당</t>
    <phoneticPr fontId="35" type="noConversion"/>
  </si>
  <si>
    <t>○○○수당</t>
    <phoneticPr fontId="35" type="noConversion"/>
  </si>
  <si>
    <t>근무년수(B)</t>
    <phoneticPr fontId="35" type="noConversion"/>
  </si>
  <si>
    <t>근무일수(C)</t>
    <phoneticPr fontId="35" type="noConversion"/>
  </si>
  <si>
    <t>총근무년수/일수</t>
    <phoneticPr fontId="35" type="noConversion"/>
  </si>
  <si>
    <t>★ 신청 금액</t>
    <phoneticPr fontId="35" type="noConversion"/>
  </si>
  <si>
    <t>총 퇴직금 산출금액(D)
A×(B+C/365)</t>
    <phoneticPr fontId="35" type="noConversion"/>
  </si>
  <si>
    <t>총 퇴직금 산출금액(D)</t>
    <phoneticPr fontId="35" type="noConversion"/>
  </si>
  <si>
    <r>
      <t>신청금액</t>
    </r>
    <r>
      <rPr>
        <b/>
        <sz val="11"/>
        <color rgb="FF0000FF"/>
        <rFont val="굴림"/>
        <family val="3"/>
        <charset val="129"/>
      </rPr>
      <t>(천원)</t>
    </r>
    <phoneticPr fontId="35" type="noConversion"/>
  </si>
  <si>
    <t>인원</t>
    <phoneticPr fontId="35" type="noConversion"/>
  </si>
  <si>
    <t>평균임금</t>
    <phoneticPr fontId="35" type="noConversion"/>
  </si>
  <si>
    <t>통상임금</t>
    <phoneticPr fontId="35" type="noConversion"/>
  </si>
  <si>
    <t>개인별 퇴직금 산정 내역서_평균임금</t>
    <phoneticPr fontId="35" type="noConversion"/>
  </si>
  <si>
    <t>개인별 퇴직금 산정 내역서_통상임금</t>
    <phoneticPr fontId="35" type="noConversion"/>
  </si>
  <si>
    <r>
      <t xml:space="preserve">* </t>
    </r>
    <r>
      <rPr>
        <b/>
        <u/>
        <sz val="11"/>
        <color rgb="FFFF0000"/>
        <rFont val="맑은 고딕"/>
        <family val="3"/>
        <charset val="129"/>
        <scheme val="minor"/>
      </rPr>
      <t>성과상여금은 단위학교장이 결정한 전년도 기간제교원 성과상여금 차등지급률(50%~100%)에 따른 등급 B에 해당하는 금액</t>
    </r>
    <r>
      <rPr>
        <b/>
        <sz val="11"/>
        <color theme="1"/>
        <rFont val="맑은 고딕"/>
        <family val="3"/>
        <charset val="129"/>
        <scheme val="minor"/>
      </rPr>
      <t xml:space="preserve">
  → </t>
    </r>
    <r>
      <rPr>
        <b/>
        <sz val="11"/>
        <color rgb="FFFF0000"/>
        <rFont val="맑은 고딕"/>
        <family val="3"/>
        <charset val="129"/>
        <scheme val="minor"/>
      </rPr>
      <t xml:space="preserve">근로자가 </t>
    </r>
    <r>
      <rPr>
        <b/>
        <u/>
        <sz val="11"/>
        <color rgb="FFFF0000"/>
        <rFont val="맑은 고딕"/>
        <family val="3"/>
        <charset val="129"/>
        <scheme val="minor"/>
      </rPr>
      <t>실제 지급받은 등급(금액)을 넣는것이 아님</t>
    </r>
    <phoneticPr fontId="91" type="noConversion"/>
  </si>
  <si>
    <t>차등
지급률</t>
    <phoneticPr fontId="91" type="noConversion"/>
  </si>
  <si>
    <r>
      <t>총 지급액</t>
    </r>
    <r>
      <rPr>
        <b/>
        <sz val="12"/>
        <color rgb="FF000000"/>
        <rFont val="맑은 고딕"/>
        <family val="3"/>
        <charset val="129"/>
        <scheme val="minor"/>
      </rPr>
      <t>(12개월)</t>
    </r>
    <phoneticPr fontId="91" type="noConversion"/>
  </si>
  <si>
    <t>S-B</t>
  </si>
  <si>
    <t>S</t>
  </si>
  <si>
    <t>A</t>
  </si>
  <si>
    <t>B</t>
  </si>
  <si>
    <r>
      <rPr>
        <b/>
        <sz val="10"/>
        <color rgb="FFFF0000"/>
        <rFont val="맑은 고딕"/>
        <family val="3"/>
        <charset val="129"/>
        <scheme val="minor"/>
      </rPr>
      <t>※ 통상임금 계산시 성과상여금 작성 예시</t>
    </r>
    <r>
      <rPr>
        <sz val="10"/>
        <rFont val="맑은 고딕"/>
        <family val="3"/>
        <charset val="129"/>
        <scheme val="minor"/>
      </rPr>
      <t xml:space="preserve">
  1. 차등 지급률을 50%로 결정한 학교에서 S등급을 받아 3,314,380원을 받은 기간제교원의 퇴직금 산정
   - </t>
    </r>
    <r>
      <rPr>
        <u/>
        <sz val="10"/>
        <rFont val="맑은 고딕"/>
        <family val="3"/>
        <charset val="129"/>
        <scheme val="minor"/>
      </rPr>
      <t>성과상여금</t>
    </r>
    <r>
      <rPr>
        <sz val="10"/>
        <rFont val="맑은 고딕"/>
        <family val="3"/>
        <charset val="129"/>
        <scheme val="minor"/>
      </rPr>
      <t xml:space="preserve">은 </t>
    </r>
    <r>
      <rPr>
        <u/>
        <sz val="10"/>
        <rFont val="맑은 고딕"/>
        <family val="3"/>
        <charset val="129"/>
        <scheme val="minor"/>
      </rPr>
      <t>최소한도의 일정액만 통상임금에 해당</t>
    </r>
    <r>
      <rPr>
        <sz val="10"/>
        <rFont val="맑은 고딕"/>
        <family val="3"/>
        <charset val="129"/>
        <scheme val="minor"/>
      </rPr>
      <t xml:space="preserve">하므로 </t>
    </r>
    <r>
      <rPr>
        <u/>
        <sz val="10"/>
        <rFont val="맑은 고딕"/>
        <family val="3"/>
        <charset val="129"/>
        <scheme val="minor"/>
      </rPr>
      <t>해당 차등지급률 50%의 B등급 금액</t>
    </r>
    <r>
      <rPr>
        <sz val="10"/>
        <rFont val="맑은 고딕"/>
        <family val="3"/>
        <charset val="129"/>
        <scheme val="minor"/>
      </rPr>
      <t xml:space="preserve">인 2,371,260원을 통상임금에 산입
  2. 차등 지급률을 50%로 결정한 학교에서 B등급을 받아 2,371,260원을 받은 기간제교원의 퇴직금 산정
   - 해당 차등지급률 50%에서 최저등급을 받았으므로 실제 지급 받은 금액 2,371,260원을 통상임금에 산입
  3. 위 참고파일(차등지급률에 따른 1인당 지급 금액)은 </t>
    </r>
    <r>
      <rPr>
        <u/>
        <sz val="10"/>
        <rFont val="맑은 고딕"/>
        <family val="3"/>
        <charset val="129"/>
        <scheme val="minor"/>
      </rPr>
      <t>교육부 계획으로 매년 달라지고 있으니 확인</t>
    </r>
    <r>
      <rPr>
        <sz val="10"/>
        <rFont val="맑은 고딕"/>
        <family val="3"/>
        <charset val="129"/>
        <scheme val="minor"/>
      </rPr>
      <t xml:space="preserve"> 필요
   -</t>
    </r>
    <r>
      <rPr>
        <u/>
        <sz val="10"/>
        <rFont val="맑은 고딕"/>
        <family val="3"/>
        <charset val="129"/>
        <scheme val="minor"/>
      </rPr>
      <t xml:space="preserve"> 타시도에서 지급받은 성과상여금도 이 기준으로 최저등급 확인 후 통상임금 산입</t>
    </r>
    <r>
      <rPr>
        <sz val="10"/>
        <rFont val="맑은 고딕"/>
        <family val="3"/>
        <charset val="129"/>
        <scheme val="minor"/>
      </rPr>
      <t xml:space="preserve">
  4. 퇴직금 산정 기간 중에 성과상여금을 받지 않은 경우: 성과상여금을 산입하지 않음</t>
    </r>
    <phoneticPr fontId="91" type="noConversion"/>
  </si>
  <si>
    <t>근무시작일
(0000-00-00)</t>
    <phoneticPr fontId="91" type="noConversion"/>
  </si>
  <si>
    <t>근무종료일
(0000-00-00)</t>
    <phoneticPr fontId="91" type="noConversion"/>
  </si>
  <si>
    <t>근무일수</t>
    <phoneticPr fontId="91" type="noConversion"/>
  </si>
  <si>
    <t>차등지급률</t>
    <phoneticPr fontId="91" type="noConversion"/>
  </si>
  <si>
    <t>최소한도(B등급)
1년 금액</t>
    <phoneticPr fontId="91" type="noConversion"/>
  </si>
  <si>
    <t>최소한도(B등급)
1일 금액</t>
    <phoneticPr fontId="91" type="noConversion"/>
  </si>
  <si>
    <t>통상임금 산정
성과상여금</t>
    <phoneticPr fontId="91" type="noConversion"/>
  </si>
  <si>
    <r>
      <t xml:space="preserve"> ★ 성과상여금을 받았으나 </t>
    </r>
    <r>
      <rPr>
        <b/>
        <u/>
        <sz val="10"/>
        <rFont val="맑은 고딕"/>
        <family val="3"/>
        <charset val="129"/>
        <scheme val="minor"/>
      </rPr>
      <t>전년도 근무기간에 비례하여 월(일)할계산 받은 경우</t>
    </r>
    <r>
      <rPr>
        <sz val="10"/>
        <rFont val="맑은 고딕"/>
        <family val="3"/>
        <charset val="129"/>
        <scheme val="minor"/>
      </rPr>
      <t xml:space="preserve">
   - 타시도 또는 타학교에서 지급받은 성과상여금을 월(일)할 계산하여 지급받았다면,
     </t>
    </r>
    <r>
      <rPr>
        <b/>
        <sz val="10"/>
        <color rgb="FFFF0000"/>
        <rFont val="맑은 고딕"/>
        <family val="3"/>
        <charset val="129"/>
        <scheme val="minor"/>
      </rPr>
      <t xml:space="preserve">호봉획정 시 제출한 </t>
    </r>
    <r>
      <rPr>
        <b/>
        <u/>
        <sz val="10"/>
        <color rgb="FFFF0000"/>
        <rFont val="맑은 고딕"/>
        <family val="3"/>
        <charset val="129"/>
        <scheme val="minor"/>
      </rPr>
      <t>경력증명서 등을 확인</t>
    </r>
    <r>
      <rPr>
        <sz val="10"/>
        <rFont val="맑은 고딕"/>
        <family val="3"/>
        <charset val="129"/>
        <scheme val="minor"/>
      </rPr>
      <t xml:space="preserve">하여 </t>
    </r>
    <r>
      <rPr>
        <b/>
        <u/>
        <sz val="10"/>
        <color rgb="FFFF0000"/>
        <rFont val="맑은 고딕"/>
        <family val="3"/>
        <charset val="129"/>
        <scheme val="minor"/>
      </rPr>
      <t>전년도 근무기간 산입</t>
    </r>
    <r>
      <rPr>
        <b/>
        <sz val="10"/>
        <rFont val="맑은 고딕"/>
        <family val="3"/>
        <charset val="129"/>
        <scheme val="minor"/>
      </rPr>
      <t>(기간제교사 경력만 산입, 강사 등 다른직종 제외)</t>
    </r>
    <r>
      <rPr>
        <sz val="10"/>
        <rFont val="맑은 고딕"/>
        <family val="3"/>
        <charset val="129"/>
        <scheme val="minor"/>
      </rPr>
      <t xml:space="preserve">
   - 차등지급률은 공립학교는 50%입력, 사립학교는 별도로 해당학교 확인 필요</t>
    </r>
    <phoneticPr fontId="91" type="noConversion"/>
  </si>
  <si>
    <r>
      <t xml:space="preserve">전년도 근무기관
</t>
    </r>
    <r>
      <rPr>
        <b/>
        <sz val="10"/>
        <color rgb="FFFF0000"/>
        <rFont val="굴림"/>
        <family val="3"/>
        <charset val="129"/>
      </rPr>
      <t>(학년도 기준)</t>
    </r>
    <phoneticPr fontId="91" type="noConversion"/>
  </si>
  <si>
    <t>통상임금으로 산정되는 성과상여금 총액</t>
    <phoneticPr fontId="91" type="noConversion"/>
  </si>
  <si>
    <t>* 참고 - 2025년 기간제교원 성과상여금 차등지급률에 따른 1인당 지급 금액</t>
    <phoneticPr fontId="91" type="noConversion"/>
  </si>
  <si>
    <t>※ 음영 셀에는 입력 금지</t>
    <phoneticPr fontId="35" type="noConversion"/>
  </si>
  <si>
    <t>※ 자녀학비보조수당, 가족수당, 시간외근무수당(초과분), 맞춤형복지비는 통상임금 제외</t>
    <phoneticPr fontId="35" type="noConversion"/>
  </si>
  <si>
    <t>☆ 총 퇴직금</t>
    <phoneticPr fontId="35" type="noConversion"/>
  </si>
  <si>
    <t>20  년   월  차 계약제교원 인건비 재배정 내역서(중등)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</si>
</sst>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\-#,##0"/>
    <numFmt numFmtId="179" formatCode="_ * #,##0.00_ ;_ * \-#,##0.00_ ;_ * &quot;-&quot;_ ;_ @_ "/>
    <numFmt numFmtId="180" formatCode="&quot;₩&quot;#,##0.00;&quot;₩&quot;\-#,##0.00"/>
    <numFmt numFmtId="181" formatCode="&quot;₩&quot;#,##0.00;&quot;₩&quot;&quot;₩&quot;&quot;₩&quot;&quot;₩&quot;&quot;₩&quot;&quot;₩&quot;\-#,##0.00"/>
    <numFmt numFmtId="182" formatCode="#,##0_ "/>
    <numFmt numFmtId="183" formatCode="mm&quot;월&quot;\ dd&quot;일&quot;"/>
    <numFmt numFmtId="184" formatCode="0_);[Red]\(0\)"/>
  </numFmts>
  <fonts count="10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1"/>
      <color indexed="8"/>
      <name val="돋움"/>
      <family val="3"/>
      <charset val="129"/>
    </font>
    <font>
      <sz val="14"/>
      <name val="뼻뮝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1"/>
      <color theme="1"/>
      <name val="굴림"/>
      <family val="3"/>
      <charset val="129"/>
    </font>
    <font>
      <sz val="9"/>
      <name val="굴림"/>
      <family val="3"/>
      <charset val="129"/>
    </font>
    <font>
      <b/>
      <sz val="14"/>
      <name val="새굴림체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굴림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6"/>
      <color rgb="FF000000"/>
      <name val="굴림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0000"/>
      <name val="돋움체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돋움체"/>
      <family val="3"/>
      <charset val="129"/>
    </font>
    <font>
      <b/>
      <sz val="16"/>
      <color rgb="FF000000"/>
      <name val="한양견고딕"/>
      <family val="3"/>
      <charset val="129"/>
    </font>
    <font>
      <sz val="10"/>
      <color rgb="FFFF0000"/>
      <name val="굴림"/>
      <family val="3"/>
      <charset val="129"/>
    </font>
    <font>
      <sz val="11"/>
      <color rgb="FF000000"/>
      <name val="돋움"/>
      <family val="3"/>
      <charset val="129"/>
    </font>
    <font>
      <sz val="10"/>
      <color theme="1"/>
      <name val="새굴림"/>
      <family val="1"/>
      <charset val="129"/>
    </font>
    <font>
      <sz val="11"/>
      <color rgb="FF000000"/>
      <name val="맑은 고딕"/>
      <family val="3"/>
      <charset val="129"/>
    </font>
    <font>
      <sz val="10"/>
      <color rgb="FF0070C0"/>
      <name val="굴림"/>
      <family val="3"/>
      <charset val="129"/>
    </font>
    <font>
      <sz val="12"/>
      <color theme="1"/>
      <name val="굴림"/>
      <family val="3"/>
      <charset val="129"/>
    </font>
    <font>
      <sz val="10"/>
      <color rgb="FF0000FF"/>
      <name val="굴림"/>
      <family val="3"/>
      <charset val="129"/>
    </font>
    <font>
      <b/>
      <sz val="9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sz val="10"/>
      <color rgb="FF0000FF"/>
      <name val="굴림체"/>
      <family val="3"/>
      <charset val="129"/>
    </font>
    <font>
      <b/>
      <sz val="10"/>
      <color theme="1" tint="0.499984740745262"/>
      <name val="굴림체"/>
      <family val="3"/>
      <charset val="129"/>
    </font>
    <font>
      <sz val="10"/>
      <color theme="1" tint="0.499984740745262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u/>
      <sz val="10"/>
      <color rgb="FF0000FF"/>
      <name val="굴림"/>
      <family val="3"/>
      <charset val="129"/>
    </font>
    <font>
      <b/>
      <sz val="11"/>
      <color rgb="FF0000FF"/>
      <name val="굴림"/>
      <family val="3"/>
      <charset val="129"/>
    </font>
    <font>
      <b/>
      <u/>
      <sz val="11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b/>
      <sz val="12"/>
      <name val="돋움"/>
      <family val="3"/>
      <charset val="129"/>
    </font>
    <font>
      <b/>
      <u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굴림"/>
      <family val="3"/>
      <charset val="129"/>
    </font>
    <font>
      <b/>
      <sz val="10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1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9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 diagonalUp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1">
      <left style="thin">
        <color rgb="FF808080"/>
      </left>
      <right/>
      <top style="thin">
        <color rgb="FF808080"/>
      </top>
      <bottom style="thin">
        <color rgb="FF808080"/>
      </bottom>
      <diagonal style="thin">
        <color rgb="FF808080"/>
      </diagonal>
    </border>
    <border diagonalUp="1">
      <left/>
      <right/>
      <top style="thin">
        <color rgb="FF808080"/>
      </top>
      <bottom style="thin">
        <color rgb="FF808080"/>
      </bottom>
      <diagonal style="thin">
        <color rgb="FF808080"/>
      </diagonal>
    </border>
    <border diagonalUp="1">
      <left/>
      <right style="thin">
        <color rgb="FF808080"/>
      </right>
      <top style="thin">
        <color rgb="FF808080"/>
      </top>
      <bottom style="thin">
        <color rgb="FF808080"/>
      </bottom>
      <diagonal style="thin">
        <color rgb="FF808080"/>
      </diagonal>
    </border>
    <border diagonalDown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/>
      <right style="thin">
        <color rgb="FF666666"/>
      </right>
      <top/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666666"/>
      </right>
      <top/>
      <bottom/>
      <diagonal/>
    </border>
    <border>
      <left style="thin">
        <color rgb="FF666666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medium">
        <color indexed="64"/>
      </right>
      <top/>
      <bottom style="thin">
        <color rgb="FF666666"/>
      </bottom>
      <diagonal/>
    </border>
    <border>
      <left style="medium">
        <color indexed="64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medium">
        <color indexed="64"/>
      </right>
      <top style="thin">
        <color rgb="FF666666"/>
      </top>
      <bottom/>
      <diagonal/>
    </border>
    <border>
      <left style="medium">
        <color indexed="64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666666"/>
      </right>
      <top/>
      <bottom style="medium">
        <color indexed="64"/>
      </bottom>
      <diagonal/>
    </border>
    <border>
      <left style="thin">
        <color rgb="FF666666"/>
      </left>
      <right style="thin">
        <color rgb="FF666666"/>
      </right>
      <top/>
      <bottom style="medium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indexed="64"/>
      </bottom>
      <diagonal/>
    </border>
    <border>
      <left style="thin">
        <color rgb="FF666666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0" tint="-0.499984740745262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808080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theme="0" tint="-0.499984740745262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theme="0" tint="-0.499984740745262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rgb="FF808080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rgb="FF808080"/>
      </diagonal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34">
    <xf numFmtId="0" fontId="0" fillId="0" borderId="0">
      <alignment vertical="center"/>
    </xf>
    <xf numFmtId="0" fontId="19" fillId="0" borderId="0"/>
    <xf numFmtId="0" fontId="20" fillId="0" borderId="0" applyFont="0" applyFill="0" applyBorder="0" applyAlignment="0" applyProtection="0"/>
    <xf numFmtId="0" fontId="21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9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30" fillId="0" borderId="0"/>
    <xf numFmtId="0" fontId="28" fillId="0" borderId="0"/>
    <xf numFmtId="0" fontId="5" fillId="20" borderId="1" applyNumberFormat="0" applyAlignment="0" applyProtection="0">
      <alignment vertical="center"/>
    </xf>
    <xf numFmtId="0" fontId="9" fillId="21" borderId="2" applyNumberFormat="0" applyAlignment="0" applyProtection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20" fillId="0" borderId="0" applyFont="0" applyFill="0" applyBorder="0" applyAlignment="0" applyProtection="0"/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2" fontId="19" fillId="0" borderId="0" applyFont="0" applyFill="0" applyBorder="0" applyAlignment="0" applyProtection="0"/>
    <xf numFmtId="0" fontId="17" fillId="4" borderId="0" applyNumberFormat="0" applyBorder="0" applyAlignment="0" applyProtection="0">
      <alignment vertical="center"/>
    </xf>
    <xf numFmtId="38" fontId="31" fillId="22" borderId="0" applyNumberFormat="0" applyBorder="0" applyAlignment="0" applyProtection="0"/>
    <xf numFmtId="0" fontId="32" fillId="0" borderId="3" applyNumberFormat="0" applyAlignment="0" applyProtection="0">
      <alignment horizontal="left" vertical="center"/>
    </xf>
    <xf numFmtId="0" fontId="32" fillId="0" borderId="4">
      <alignment horizontal="left" vertical="center"/>
    </xf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7" borderId="1" applyNumberFormat="0" applyAlignment="0" applyProtection="0">
      <alignment vertical="center"/>
    </xf>
    <xf numFmtId="10" fontId="31" fillId="23" borderId="6" applyNumberFormat="0" applyBorder="0" applyAlignment="0" applyProtection="0"/>
    <xf numFmtId="0" fontId="12" fillId="7" borderId="1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81" fontId="25" fillId="0" borderId="0"/>
    <xf numFmtId="0" fontId="19" fillId="0" borderId="0"/>
    <xf numFmtId="0" fontId="2" fillId="25" borderId="8" applyNumberFormat="0" applyFont="0" applyAlignment="0" applyProtection="0">
      <alignment vertical="center"/>
    </xf>
    <xf numFmtId="0" fontId="18" fillId="20" borderId="9" applyNumberFormat="0" applyAlignment="0" applyProtection="0">
      <alignment vertical="center"/>
    </xf>
    <xf numFmtId="10" fontId="19" fillId="0" borderId="0" applyFont="0" applyFill="0" applyBorder="0" applyAlignment="0" applyProtection="0"/>
    <xf numFmtId="0" fontId="34" fillId="0" borderId="0"/>
    <xf numFmtId="0" fontId="13" fillId="0" borderId="0" applyNumberFormat="0" applyFill="0" applyBorder="0" applyAlignment="0" applyProtection="0">
      <alignment vertical="center"/>
    </xf>
    <xf numFmtId="0" fontId="19" fillId="0" borderId="10" applyNumberFormat="0" applyFont="0" applyFill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2" fillId="0" borderId="0">
      <alignment vertical="center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1" fillId="25" borderId="8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" fillId="24" borderId="0" applyNumberFormat="0" applyBorder="0" applyAlignment="0" applyProtection="0">
      <alignment vertical="center"/>
    </xf>
    <xf numFmtId="0" fontId="1" fillId="0" borderId="0"/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4" fillId="0" borderId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1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5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" fillId="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5" borderId="8" applyNumberFormat="0" applyFon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1" borderId="2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0" fillId="0" borderId="7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7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8" fillId="20" borderId="9" applyNumberFormat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41" fontId="49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41" fontId="6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71" fillId="0" borderId="0">
      <alignment vertical="center"/>
    </xf>
    <xf numFmtId="41" fontId="69" fillId="0" borderId="0">
      <alignment vertical="center"/>
    </xf>
    <xf numFmtId="41" fontId="69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555">
    <xf numFmtId="0" fontId="0" fillId="0" borderId="0" xfId="0">
      <alignment vertical="center"/>
    </xf>
    <xf numFmtId="41" fontId="0" fillId="0" borderId="0" xfId="0" applyNumberFormat="1">
      <alignment vertical="center"/>
    </xf>
    <xf numFmtId="41" fontId="36" fillId="0" borderId="0" xfId="0" applyNumberFormat="1" applyFont="1">
      <alignment vertical="center"/>
    </xf>
    <xf numFmtId="0" fontId="36" fillId="0" borderId="0" xfId="0" applyFont="1">
      <alignment vertical="center"/>
    </xf>
    <xf numFmtId="41" fontId="40" fillId="0" borderId="14" xfId="1028" applyNumberFormat="1" applyFont="1" applyFill="1" applyBorder="1" applyAlignment="1">
      <alignment vertical="center" shrinkToFit="1"/>
    </xf>
    <xf numFmtId="41" fontId="40" fillId="0" borderId="14" xfId="492" applyNumberFormat="1" applyFont="1" applyFill="1" applyBorder="1" applyAlignment="1">
      <alignment horizontal="center" vertical="center" shrinkToFit="1"/>
    </xf>
    <xf numFmtId="41" fontId="40" fillId="0" borderId="14" xfId="492" applyNumberFormat="1" applyFont="1" applyFill="1" applyBorder="1" applyAlignment="1">
      <alignment vertical="center" shrinkToFit="1"/>
    </xf>
    <xf numFmtId="41" fontId="40" fillId="28" borderId="14" xfId="1028" applyNumberFormat="1" applyFont="1" applyFill="1" applyBorder="1" applyAlignment="1">
      <alignment vertical="center" shrinkToFit="1"/>
    </xf>
    <xf numFmtId="41" fontId="40" fillId="0" borderId="14" xfId="1028" applyNumberFormat="1" applyFont="1" applyFill="1" applyBorder="1" applyAlignment="1">
      <alignment vertical="center"/>
    </xf>
    <xf numFmtId="41" fontId="40" fillId="0" borderId="14" xfId="1027" applyFont="1" applyFill="1" applyBorder="1" applyAlignment="1">
      <alignment horizontal="center" vertical="center" shrinkToFit="1"/>
    </xf>
    <xf numFmtId="41" fontId="40" fillId="0" borderId="14" xfId="1027" applyFont="1" applyFill="1" applyBorder="1" applyAlignment="1">
      <alignment vertical="center" shrinkToFit="1"/>
    </xf>
    <xf numFmtId="41" fontId="40" fillId="0" borderId="14" xfId="1027" applyFont="1" applyFill="1" applyBorder="1" applyAlignment="1">
      <alignment horizontal="right" vertical="center" shrinkToFit="1"/>
    </xf>
    <xf numFmtId="41" fontId="39" fillId="0" borderId="14" xfId="492" applyNumberFormat="1" applyFont="1" applyFill="1" applyBorder="1" applyAlignment="1">
      <alignment vertical="center" shrinkToFit="1"/>
    </xf>
    <xf numFmtId="41" fontId="39" fillId="0" borderId="14" xfId="1028" applyNumberFormat="1" applyFont="1" applyFill="1" applyBorder="1" applyAlignment="1">
      <alignment vertical="center" shrinkToFit="1"/>
    </xf>
    <xf numFmtId="41" fontId="41" fillId="0" borderId="14" xfId="0" applyNumberFormat="1" applyFont="1" applyFill="1" applyBorder="1" applyAlignment="1">
      <alignment vertical="center" shrinkToFit="1"/>
    </xf>
    <xf numFmtId="0" fontId="44" fillId="0" borderId="0" xfId="111" applyNumberFormat="1" applyFont="1" applyBorder="1" applyAlignment="1">
      <alignment horizontal="center" vertical="center"/>
    </xf>
    <xf numFmtId="41" fontId="44" fillId="0" borderId="0" xfId="111" applyFont="1">
      <alignment vertical="center"/>
    </xf>
    <xf numFmtId="0" fontId="44" fillId="0" borderId="0" xfId="111" applyNumberFormat="1" applyFont="1" applyAlignment="1">
      <alignment horizontal="center" vertical="center"/>
    </xf>
    <xf numFmtId="41" fontId="44" fillId="0" borderId="0" xfId="111" applyFont="1" applyAlignment="1">
      <alignment horizontal="center" vertical="center"/>
    </xf>
    <xf numFmtId="0" fontId="45" fillId="0" borderId="0" xfId="0" applyFont="1">
      <alignment vertical="center"/>
    </xf>
    <xf numFmtId="0" fontId="0" fillId="0" borderId="0" xfId="0" applyFill="1">
      <alignment vertical="center"/>
    </xf>
    <xf numFmtId="0" fontId="39" fillId="26" borderId="14" xfId="287" applyNumberFormat="1" applyFont="1" applyFill="1" applyBorder="1" applyAlignment="1">
      <alignment horizontal="center" vertical="center" shrinkToFit="1"/>
    </xf>
    <xf numFmtId="0" fontId="39" fillId="26" borderId="14" xfId="420" applyNumberFormat="1" applyFont="1" applyFill="1" applyBorder="1" applyAlignment="1">
      <alignment horizontal="center" vertical="center" shrinkToFit="1"/>
    </xf>
    <xf numFmtId="0" fontId="39" fillId="26" borderId="14" xfId="618" applyNumberFormat="1" applyFont="1" applyFill="1" applyBorder="1" applyAlignment="1">
      <alignment horizontal="center" vertical="center" shrinkToFit="1"/>
    </xf>
    <xf numFmtId="0" fontId="39" fillId="26" borderId="14" xfId="1013" applyNumberFormat="1" applyFont="1" applyFill="1" applyBorder="1" applyAlignment="1">
      <alignment horizontal="center" vertical="center" shrinkToFit="1"/>
    </xf>
    <xf numFmtId="41" fontId="36" fillId="0" borderId="0" xfId="0" applyNumberFormat="1" applyFont="1" applyFill="1">
      <alignment vertical="center"/>
    </xf>
    <xf numFmtId="182" fontId="0" fillId="0" borderId="0" xfId="0" applyNumberFormat="1" applyFill="1">
      <alignment vertical="center"/>
    </xf>
    <xf numFmtId="41" fontId="0" fillId="0" borderId="0" xfId="0" applyNumberFormat="1" applyFill="1">
      <alignment vertical="center"/>
    </xf>
    <xf numFmtId="0" fontId="39" fillId="26" borderId="14" xfId="341" applyNumberFormat="1" applyFont="1" applyFill="1" applyBorder="1" applyAlignment="1">
      <alignment horizontal="center" vertical="center" shrinkToFit="1"/>
    </xf>
    <xf numFmtId="41" fontId="42" fillId="0" borderId="0" xfId="111" applyFont="1" applyAlignment="1">
      <alignment horizontal="center" vertical="center"/>
    </xf>
    <xf numFmtId="41" fontId="42" fillId="0" borderId="0" xfId="111" applyFont="1" applyAlignment="1">
      <alignment horizontal="center" vertical="center"/>
    </xf>
    <xf numFmtId="41" fontId="47" fillId="0" borderId="0" xfId="493" applyFont="1" applyAlignment="1" applyProtection="1">
      <alignment horizontal="center" vertical="center"/>
      <protection locked="0"/>
    </xf>
    <xf numFmtId="41" fontId="51" fillId="0" borderId="31" xfId="0" applyNumberFormat="1" applyFont="1" applyBorder="1" applyAlignment="1">
      <alignment horizontal="right" vertical="center" wrapText="1"/>
    </xf>
    <xf numFmtId="0" fontId="51" fillId="26" borderId="28" xfId="0" applyFont="1" applyFill="1" applyBorder="1" applyAlignment="1">
      <alignment horizontal="center" vertical="center" wrapText="1"/>
    </xf>
    <xf numFmtId="0" fontId="51" fillId="26" borderId="31" xfId="0" applyFont="1" applyFill="1" applyBorder="1" applyAlignment="1">
      <alignment horizontal="center" vertical="center" wrapText="1"/>
    </xf>
    <xf numFmtId="0" fontId="50" fillId="29" borderId="31" xfId="0" applyFont="1" applyFill="1" applyBorder="1" applyAlignment="1">
      <alignment horizontal="center" vertical="center" wrapText="1"/>
    </xf>
    <xf numFmtId="0" fontId="50" fillId="29" borderId="25" xfId="0" applyFont="1" applyFill="1" applyBorder="1" applyAlignment="1">
      <alignment horizontal="center" vertical="center" wrapText="1"/>
    </xf>
    <xf numFmtId="41" fontId="51" fillId="29" borderId="31" xfId="0" applyNumberFormat="1" applyFont="1" applyFill="1" applyBorder="1" applyAlignment="1">
      <alignment horizontal="right" vertical="center" wrapText="1"/>
    </xf>
    <xf numFmtId="41" fontId="39" fillId="0" borderId="0" xfId="111" applyFont="1" applyBorder="1" applyAlignment="1">
      <alignment vertical="center" shrinkToFit="1"/>
    </xf>
    <xf numFmtId="0" fontId="50" fillId="31" borderId="25" xfId="0" applyFont="1" applyFill="1" applyBorder="1" applyAlignment="1">
      <alignment horizontal="center" vertical="center" wrapText="1"/>
    </xf>
    <xf numFmtId="0" fontId="52" fillId="0" borderId="25" xfId="0" applyFont="1" applyBorder="1" applyAlignment="1">
      <alignment horizontal="center" vertical="center" wrapText="1"/>
    </xf>
    <xf numFmtId="0" fontId="49" fillId="0" borderId="0" xfId="0" applyFont="1">
      <alignment vertical="center"/>
    </xf>
    <xf numFmtId="0" fontId="0" fillId="0" borderId="0" xfId="0" applyFont="1">
      <alignment vertical="center"/>
    </xf>
    <xf numFmtId="41" fontId="52" fillId="0" borderId="25" xfId="0" applyNumberFormat="1" applyFont="1" applyBorder="1" applyAlignment="1">
      <alignment horizontal="center" vertical="center" wrapText="1"/>
    </xf>
    <xf numFmtId="0" fontId="52" fillId="31" borderId="31" xfId="0" applyFont="1" applyFill="1" applyBorder="1" applyAlignment="1">
      <alignment horizontal="center" vertical="center" wrapText="1"/>
    </xf>
    <xf numFmtId="41" fontId="52" fillId="31" borderId="31" xfId="0" applyNumberFormat="1" applyFont="1" applyFill="1" applyBorder="1" applyAlignment="1">
      <alignment horizontal="center" vertical="center" wrapText="1"/>
    </xf>
    <xf numFmtId="41" fontId="51" fillId="31" borderId="31" xfId="0" applyNumberFormat="1" applyFont="1" applyFill="1" applyBorder="1" applyAlignment="1">
      <alignment horizontal="center" vertical="center" wrapText="1"/>
    </xf>
    <xf numFmtId="41" fontId="52" fillId="34" borderId="30" xfId="0" applyNumberFormat="1" applyFont="1" applyFill="1" applyBorder="1" applyAlignment="1">
      <alignment horizontal="right" vertical="center" wrapText="1"/>
    </xf>
    <xf numFmtId="41" fontId="55" fillId="31" borderId="25" xfId="0" applyNumberFormat="1" applyFont="1" applyFill="1" applyBorder="1" applyAlignment="1">
      <alignment horizontal="center" vertical="center" wrapText="1"/>
    </xf>
    <xf numFmtId="0" fontId="38" fillId="27" borderId="14" xfId="111" applyNumberFormat="1" applyFont="1" applyFill="1" applyBorder="1" applyAlignment="1">
      <alignment horizontal="center" vertical="center" wrapText="1"/>
    </xf>
    <xf numFmtId="0" fontId="38" fillId="27" borderId="14" xfId="111" applyNumberFormat="1" applyFont="1" applyFill="1" applyBorder="1" applyAlignment="1">
      <alignment horizontal="center" vertical="center" shrinkToFit="1"/>
    </xf>
    <xf numFmtId="0" fontId="38" fillId="27" borderId="14" xfId="111" applyNumberFormat="1" applyFont="1" applyFill="1" applyBorder="1" applyAlignment="1">
      <alignment horizontal="center" vertical="center"/>
    </xf>
    <xf numFmtId="0" fontId="38" fillId="27" borderId="14" xfId="111" applyNumberFormat="1" applyFont="1" applyFill="1" applyBorder="1" applyAlignment="1">
      <alignment horizontal="center" vertical="center" wrapText="1" shrinkToFit="1"/>
    </xf>
    <xf numFmtId="0" fontId="38" fillId="33" borderId="14" xfId="111" applyNumberFormat="1" applyFont="1" applyFill="1" applyBorder="1" applyAlignment="1">
      <alignment horizontal="center" vertical="center" wrapText="1"/>
    </xf>
    <xf numFmtId="0" fontId="38" fillId="33" borderId="14" xfId="111" applyNumberFormat="1" applyFont="1" applyFill="1" applyBorder="1" applyAlignment="1">
      <alignment horizontal="center" vertical="center" shrinkToFit="1"/>
    </xf>
    <xf numFmtId="0" fontId="38" fillId="33" borderId="14" xfId="111" applyNumberFormat="1" applyFont="1" applyFill="1" applyBorder="1" applyAlignment="1">
      <alignment horizontal="center" vertical="center"/>
    </xf>
    <xf numFmtId="0" fontId="38" fillId="33" borderId="14" xfId="111" applyNumberFormat="1" applyFont="1" applyFill="1" applyBorder="1" applyAlignment="1">
      <alignment horizontal="center" vertical="center" wrapText="1" shrinkToFit="1"/>
    </xf>
    <xf numFmtId="41" fontId="40" fillId="33" borderId="14" xfId="492" applyNumberFormat="1" applyFont="1" applyFill="1" applyBorder="1" applyAlignment="1">
      <alignment horizontal="center" vertical="center" shrinkToFit="1"/>
    </xf>
    <xf numFmtId="41" fontId="41" fillId="33" borderId="14" xfId="0" applyNumberFormat="1" applyFont="1" applyFill="1" applyBorder="1" applyAlignment="1">
      <alignment vertical="center" shrinkToFit="1"/>
    </xf>
    <xf numFmtId="41" fontId="40" fillId="27" borderId="14" xfId="492" applyNumberFormat="1" applyFont="1" applyFill="1" applyBorder="1" applyAlignment="1">
      <alignment horizontal="center" vertical="center" shrinkToFit="1"/>
    </xf>
    <xf numFmtId="41" fontId="41" fillId="27" borderId="14" xfId="0" applyNumberFormat="1" applyFont="1" applyFill="1" applyBorder="1" applyAlignment="1">
      <alignment vertical="center" shrinkToFit="1"/>
    </xf>
    <xf numFmtId="41" fontId="52" fillId="31" borderId="25" xfId="0" applyNumberFormat="1" applyFont="1" applyFill="1" applyBorder="1" applyAlignment="1">
      <alignment horizontal="center" vertical="center" wrapText="1"/>
    </xf>
    <xf numFmtId="41" fontId="52" fillId="32" borderId="25" xfId="0" applyNumberFormat="1" applyFont="1" applyFill="1" applyBorder="1" applyAlignment="1">
      <alignment horizontal="center" vertical="center" wrapText="1"/>
    </xf>
    <xf numFmtId="0" fontId="52" fillId="32" borderId="25" xfId="0" applyFont="1" applyFill="1" applyBorder="1" applyAlignment="1">
      <alignment horizontal="center" vertical="center" wrapText="1"/>
    </xf>
    <xf numFmtId="183" fontId="45" fillId="0" borderId="14" xfId="0" quotePrefix="1" applyNumberFormat="1" applyFont="1" applyBorder="1" applyAlignment="1">
      <alignment horizontal="center" vertical="center"/>
    </xf>
    <xf numFmtId="0" fontId="45" fillId="0" borderId="14" xfId="0" quotePrefix="1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0" fontId="57" fillId="31" borderId="14" xfId="0" applyFont="1" applyFill="1" applyBorder="1" applyAlignment="1">
      <alignment horizontal="center" vertical="center"/>
    </xf>
    <xf numFmtId="0" fontId="53" fillId="0" borderId="14" xfId="1116" applyBorder="1" applyAlignment="1">
      <alignment horizontal="center" vertical="center"/>
    </xf>
    <xf numFmtId="0" fontId="58" fillId="0" borderId="0" xfId="0" applyFo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>
      <alignment vertical="center"/>
    </xf>
    <xf numFmtId="0" fontId="60" fillId="0" borderId="14" xfId="0" applyFont="1" applyBorder="1" applyAlignment="1">
      <alignment horizontal="center" vertical="center" wrapText="1"/>
    </xf>
    <xf numFmtId="0" fontId="59" fillId="0" borderId="0" xfId="0" applyFont="1">
      <alignment vertical="center"/>
    </xf>
    <xf numFmtId="0" fontId="57" fillId="0" borderId="14" xfId="0" applyFont="1" applyFill="1" applyBorder="1" applyAlignment="1">
      <alignment horizontal="center" vertical="center"/>
    </xf>
    <xf numFmtId="0" fontId="45" fillId="0" borderId="14" xfId="0" applyFont="1" applyFill="1" applyBorder="1" applyAlignment="1">
      <alignment horizontal="center" vertical="center"/>
    </xf>
    <xf numFmtId="0" fontId="53" fillId="0" borderId="14" xfId="1116" applyFill="1" applyBorder="1" applyAlignment="1">
      <alignment horizontal="center" vertical="center"/>
    </xf>
    <xf numFmtId="0" fontId="0" fillId="31" borderId="14" xfId="0" applyFill="1" applyBorder="1" applyAlignment="1">
      <alignment horizontal="center" vertical="center"/>
    </xf>
    <xf numFmtId="0" fontId="59" fillId="31" borderId="14" xfId="0" applyFont="1" applyFill="1" applyBorder="1" applyAlignment="1">
      <alignment horizontal="center" vertical="center" wrapText="1"/>
    </xf>
    <xf numFmtId="0" fontId="0" fillId="31" borderId="14" xfId="0" applyFill="1" applyBorder="1" applyAlignment="1">
      <alignment horizontal="center" vertical="center" wrapText="1"/>
    </xf>
    <xf numFmtId="0" fontId="0" fillId="30" borderId="14" xfId="0" applyFill="1" applyBorder="1" applyAlignment="1">
      <alignment horizontal="center" vertical="center"/>
    </xf>
    <xf numFmtId="0" fontId="59" fillId="30" borderId="14" xfId="0" applyFont="1" applyFill="1" applyBorder="1" applyAlignment="1">
      <alignment horizontal="center" vertical="center" wrapText="1"/>
    </xf>
    <xf numFmtId="0" fontId="0" fillId="30" borderId="14" xfId="0" applyFill="1" applyBorder="1" applyAlignment="1">
      <alignment horizontal="center" vertical="center" wrapText="1"/>
    </xf>
    <xf numFmtId="0" fontId="62" fillId="0" borderId="0" xfId="0" applyFont="1">
      <alignment vertical="center"/>
    </xf>
    <xf numFmtId="41" fontId="42" fillId="0" borderId="0" xfId="111" applyFont="1" applyAlignment="1">
      <alignment horizontal="center" vertical="center"/>
    </xf>
    <xf numFmtId="0" fontId="38" fillId="33" borderId="14" xfId="111" applyNumberFormat="1" applyFont="1" applyFill="1" applyBorder="1" applyAlignment="1">
      <alignment horizontal="center" vertical="center" wrapText="1"/>
    </xf>
    <xf numFmtId="41" fontId="42" fillId="0" borderId="0" xfId="111" applyFont="1" applyAlignment="1">
      <alignment horizontal="center" vertical="center"/>
    </xf>
    <xf numFmtId="0" fontId="63" fillId="0" borderId="0" xfId="0" applyFont="1">
      <alignment vertical="center"/>
    </xf>
    <xf numFmtId="0" fontId="52" fillId="31" borderId="30" xfId="0" applyFont="1" applyFill="1" applyBorder="1" applyAlignment="1">
      <alignment horizontal="center" vertical="center" wrapText="1"/>
    </xf>
    <xf numFmtId="0" fontId="52" fillId="31" borderId="29" xfId="0" applyFont="1" applyFill="1" applyBorder="1" applyAlignment="1">
      <alignment horizontal="center" vertical="center" wrapText="1"/>
    </xf>
    <xf numFmtId="41" fontId="52" fillId="0" borderId="33" xfId="0" applyNumberFormat="1" applyFont="1" applyFill="1" applyBorder="1" applyAlignment="1">
      <alignment horizontal="center" vertical="center" wrapText="1"/>
    </xf>
    <xf numFmtId="41" fontId="52" fillId="0" borderId="29" xfId="0" applyNumberFormat="1" applyFont="1" applyFill="1" applyBorder="1" applyAlignment="1">
      <alignment horizontal="center" vertical="center" wrapText="1"/>
    </xf>
    <xf numFmtId="41" fontId="51" fillId="0" borderId="33" xfId="0" applyNumberFormat="1" applyFont="1" applyFill="1" applyBorder="1" applyAlignment="1">
      <alignment horizontal="center" vertical="center" wrapText="1"/>
    </xf>
    <xf numFmtId="41" fontId="51" fillId="0" borderId="29" xfId="0" applyNumberFormat="1" applyFont="1" applyFill="1" applyBorder="1" applyAlignment="1">
      <alignment horizontal="center" vertical="center" wrapText="1"/>
    </xf>
    <xf numFmtId="0" fontId="51" fillId="0" borderId="33" xfId="0" applyFont="1" applyFill="1" applyBorder="1" applyAlignment="1">
      <alignment horizontal="center" vertical="center" wrapText="1"/>
    </xf>
    <xf numFmtId="0" fontId="51" fillId="0" borderId="30" xfId="0" applyFont="1" applyFill="1" applyBorder="1" applyAlignment="1">
      <alignment horizontal="center" vertical="center" wrapText="1"/>
    </xf>
    <xf numFmtId="41" fontId="51" fillId="0" borderId="30" xfId="0" applyNumberFormat="1" applyFont="1" applyFill="1" applyBorder="1" applyAlignment="1">
      <alignment horizontal="center" vertical="center" wrapText="1"/>
    </xf>
    <xf numFmtId="0" fontId="64" fillId="0" borderId="40" xfId="0" applyFont="1" applyBorder="1" applyAlignment="1">
      <alignment horizontal="center" vertical="center" wrapText="1"/>
    </xf>
    <xf numFmtId="0" fontId="64" fillId="0" borderId="41" xfId="0" applyFont="1" applyBorder="1" applyAlignment="1">
      <alignment horizontal="center" vertical="center" wrapText="1"/>
    </xf>
    <xf numFmtId="0" fontId="64" fillId="0" borderId="45" xfId="0" applyFont="1" applyBorder="1" applyAlignment="1">
      <alignment horizontal="center" vertical="center" wrapText="1"/>
    </xf>
    <xf numFmtId="0" fontId="66" fillId="0" borderId="49" xfId="0" applyFont="1" applyBorder="1" applyAlignment="1">
      <alignment horizontal="center" vertical="center" wrapText="1"/>
    </xf>
    <xf numFmtId="0" fontId="66" fillId="0" borderId="49" xfId="0" applyFont="1" applyBorder="1" applyAlignment="1">
      <alignment horizontal="justify" vertical="center" wrapText="1"/>
    </xf>
    <xf numFmtId="0" fontId="66" fillId="0" borderId="68" xfId="0" applyFont="1" applyBorder="1" applyAlignment="1">
      <alignment horizontal="center" vertical="center" wrapText="1"/>
    </xf>
    <xf numFmtId="0" fontId="66" fillId="0" borderId="68" xfId="0" applyFont="1" applyBorder="1" applyAlignment="1">
      <alignment horizontal="justify" vertical="center" wrapText="1"/>
    </xf>
    <xf numFmtId="41" fontId="42" fillId="0" borderId="0" xfId="111" applyFont="1" applyAlignment="1">
      <alignment horizontal="center" vertical="center"/>
    </xf>
    <xf numFmtId="41" fontId="43" fillId="0" borderId="0" xfId="111" applyFont="1" applyBorder="1" applyAlignment="1">
      <alignment horizontal="left" vertical="center"/>
    </xf>
    <xf numFmtId="0" fontId="38" fillId="33" borderId="14" xfId="111" applyNumberFormat="1" applyFont="1" applyFill="1" applyBorder="1" applyAlignment="1">
      <alignment horizontal="center" vertical="center" wrapText="1"/>
    </xf>
    <xf numFmtId="0" fontId="38" fillId="27" borderId="14" xfId="111" applyNumberFormat="1" applyFont="1" applyFill="1" applyBorder="1" applyAlignment="1">
      <alignment horizontal="center" vertical="center" wrapText="1"/>
    </xf>
    <xf numFmtId="0" fontId="39" fillId="26" borderId="6" xfId="287" applyNumberFormat="1" applyFont="1" applyFill="1" applyBorder="1" applyAlignment="1">
      <alignment horizontal="center" vertical="center" shrinkToFit="1"/>
    </xf>
    <xf numFmtId="41" fontId="40" fillId="28" borderId="6" xfId="0" applyNumberFormat="1" applyFont="1" applyFill="1" applyBorder="1" applyAlignment="1">
      <alignment horizontal="center" vertical="center" shrinkToFit="1"/>
    </xf>
    <xf numFmtId="41" fontId="40" fillId="28" borderId="6" xfId="1117" applyNumberFormat="1" applyFont="1" applyFill="1" applyBorder="1" applyAlignment="1">
      <alignment vertical="center" shrinkToFit="1"/>
    </xf>
    <xf numFmtId="41" fontId="38" fillId="29" borderId="6" xfId="492" applyFont="1" applyFill="1" applyBorder="1" applyAlignment="1">
      <alignment horizontal="center" vertical="center" shrinkToFit="1"/>
    </xf>
    <xf numFmtId="41" fontId="41" fillId="30" borderId="6" xfId="492" applyFont="1" applyFill="1" applyBorder="1" applyAlignment="1">
      <alignment horizontal="center" vertical="center" shrinkToFit="1"/>
    </xf>
    <xf numFmtId="41" fontId="41" fillId="26" borderId="6" xfId="492" applyFont="1" applyFill="1" applyBorder="1" applyAlignment="1">
      <alignment horizontal="center" vertical="center" shrinkToFit="1"/>
    </xf>
    <xf numFmtId="0" fontId="39" fillId="26" borderId="6" xfId="420" applyNumberFormat="1" applyFont="1" applyFill="1" applyBorder="1" applyAlignment="1">
      <alignment horizontal="center" vertical="center" shrinkToFit="1"/>
    </xf>
    <xf numFmtId="0" fontId="39" fillId="26" borderId="6" xfId="618" applyNumberFormat="1" applyFont="1" applyFill="1" applyBorder="1" applyAlignment="1">
      <alignment horizontal="center" vertical="center" shrinkToFit="1"/>
    </xf>
    <xf numFmtId="0" fontId="39" fillId="26" borderId="6" xfId="1013" applyNumberFormat="1" applyFont="1" applyFill="1" applyBorder="1" applyAlignment="1">
      <alignment horizontal="center" vertical="center" shrinkToFit="1"/>
    </xf>
    <xf numFmtId="41" fontId="38" fillId="29" borderId="6" xfId="1027" applyFont="1" applyFill="1" applyBorder="1" applyAlignment="1">
      <alignment horizontal="center" vertical="center" shrinkToFit="1"/>
    </xf>
    <xf numFmtId="0" fontId="40" fillId="26" borderId="14" xfId="287" applyNumberFormat="1" applyFont="1" applyFill="1" applyBorder="1" applyAlignment="1">
      <alignment horizontal="center" vertical="center" shrinkToFit="1"/>
    </xf>
    <xf numFmtId="0" fontId="68" fillId="26" borderId="14" xfId="287" applyNumberFormat="1" applyFont="1" applyFill="1" applyBorder="1" applyAlignment="1">
      <alignment horizontal="center" vertical="center" shrinkToFit="1"/>
    </xf>
    <xf numFmtId="41" fontId="40" fillId="0" borderId="14" xfId="492" applyFont="1" applyFill="1" applyBorder="1" applyAlignment="1">
      <alignment horizontal="center" vertical="center" shrinkToFit="1"/>
    </xf>
    <xf numFmtId="41" fontId="40" fillId="0" borderId="14" xfId="492" applyFont="1" applyFill="1" applyBorder="1" applyAlignment="1">
      <alignment vertical="center" shrinkToFit="1"/>
    </xf>
    <xf numFmtId="41" fontId="40" fillId="28" borderId="14" xfId="492" applyFont="1" applyFill="1" applyBorder="1" applyAlignment="1">
      <alignment vertical="center" shrinkToFit="1"/>
    </xf>
    <xf numFmtId="41" fontId="52" fillId="0" borderId="25" xfId="1119" applyFont="1" applyBorder="1" applyAlignment="1">
      <alignment horizontal="center" vertical="center" shrinkToFit="1"/>
    </xf>
    <xf numFmtId="41" fontId="52" fillId="0" borderId="25" xfId="1119" applyFont="1" applyBorder="1" applyAlignment="1">
      <alignment horizontal="right" vertical="center" shrinkToFit="1"/>
    </xf>
    <xf numFmtId="41" fontId="52" fillId="0" borderId="25" xfId="1119" applyFont="1" applyBorder="1" applyAlignment="1">
      <alignment vertical="center" shrinkToFit="1"/>
    </xf>
    <xf numFmtId="41" fontId="70" fillId="28" borderId="25" xfId="1119" applyFont="1" applyFill="1" applyBorder="1" applyAlignment="1">
      <alignment horizontal="center" vertical="center" shrinkToFit="1"/>
    </xf>
    <xf numFmtId="41" fontId="40" fillId="0" borderId="14" xfId="492" applyFont="1" applyFill="1" applyBorder="1" applyAlignment="1">
      <alignment horizontal="right" vertical="center" shrinkToFit="1"/>
    </xf>
    <xf numFmtId="41" fontId="39" fillId="0" borderId="14" xfId="492" applyFont="1" applyFill="1" applyBorder="1" applyAlignment="1">
      <alignment horizontal="center" vertical="center" shrinkToFit="1"/>
    </xf>
    <xf numFmtId="41" fontId="39" fillId="0" borderId="14" xfId="492" applyFont="1" applyFill="1" applyBorder="1" applyAlignment="1">
      <alignment vertical="center" shrinkToFit="1"/>
    </xf>
    <xf numFmtId="41" fontId="40" fillId="0" borderId="14" xfId="1122" applyFont="1" applyFill="1" applyBorder="1" applyAlignment="1">
      <alignment horizontal="center" vertical="center" shrinkToFit="1"/>
    </xf>
    <xf numFmtId="41" fontId="40" fillId="0" borderId="14" xfId="1123" applyFont="1" applyFill="1" applyBorder="1" applyAlignment="1">
      <alignment horizontal="right" vertical="center" shrinkToFit="1"/>
    </xf>
    <xf numFmtId="41" fontId="40" fillId="0" borderId="15" xfId="492" applyFont="1" applyFill="1" applyBorder="1" applyAlignment="1">
      <alignment vertical="center" shrinkToFit="1"/>
    </xf>
    <xf numFmtId="41" fontId="40" fillId="0" borderId="14" xfId="1118" applyFont="1" applyFill="1" applyBorder="1" applyAlignment="1">
      <alignment horizontal="center" vertical="center" shrinkToFit="1"/>
    </xf>
    <xf numFmtId="41" fontId="40" fillId="0" borderId="14" xfId="1126" applyFont="1" applyFill="1" applyBorder="1" applyAlignment="1">
      <alignment horizontal="right" vertical="center" shrinkToFit="1"/>
    </xf>
    <xf numFmtId="41" fontId="45" fillId="0" borderId="14" xfId="492" applyFont="1" applyFill="1" applyBorder="1" applyAlignment="1">
      <alignment horizontal="center" vertical="center" shrinkToFit="1"/>
    </xf>
    <xf numFmtId="41" fontId="45" fillId="0" borderId="14" xfId="1027" applyFont="1" applyFill="1" applyBorder="1" applyAlignment="1">
      <alignment horizontal="right" vertical="center" shrinkToFit="1"/>
    </xf>
    <xf numFmtId="41" fontId="45" fillId="0" borderId="14" xfId="492" applyFont="1" applyFill="1" applyBorder="1" applyAlignment="1">
      <alignment vertical="center" shrinkToFit="1"/>
    </xf>
    <xf numFmtId="41" fontId="52" fillId="0" borderId="25" xfId="1127" applyFont="1" applyBorder="1" applyAlignment="1">
      <alignment horizontal="right" vertical="center" shrinkToFit="1"/>
    </xf>
    <xf numFmtId="41" fontId="41" fillId="0" borderId="14" xfId="0" applyNumberFormat="1" applyFont="1" applyBorder="1" applyAlignment="1">
      <alignment vertical="center" shrinkToFit="1"/>
    </xf>
    <xf numFmtId="41" fontId="40" fillId="28" borderId="14" xfId="492" applyFont="1" applyFill="1" applyBorder="1" applyAlignment="1">
      <alignment horizontal="center" vertical="center" shrinkToFit="1"/>
    </xf>
    <xf numFmtId="41" fontId="40" fillId="0" borderId="6" xfId="492" applyFont="1" applyFill="1" applyBorder="1" applyAlignment="1">
      <alignment horizontal="center" vertical="center" shrinkToFit="1"/>
    </xf>
    <xf numFmtId="41" fontId="40" fillId="0" borderId="6" xfId="1027" applyFont="1" applyFill="1" applyBorder="1" applyAlignment="1">
      <alignment vertical="center" shrinkToFit="1"/>
    </xf>
    <xf numFmtId="41" fontId="40" fillId="33" borderId="14" xfId="492" applyFont="1" applyFill="1" applyBorder="1" applyAlignment="1">
      <alignment horizontal="center" vertical="center" shrinkToFit="1"/>
    </xf>
    <xf numFmtId="41" fontId="40" fillId="0" borderId="14" xfId="1028" applyNumberFormat="1" applyFont="1" applyBorder="1" applyAlignment="1">
      <alignment vertical="center"/>
    </xf>
    <xf numFmtId="182" fontId="0" fillId="0" borderId="0" xfId="0" applyNumberFormat="1">
      <alignment vertical="center"/>
    </xf>
    <xf numFmtId="41" fontId="40" fillId="0" borderId="14" xfId="1028" applyNumberFormat="1" applyFont="1" applyBorder="1" applyAlignment="1">
      <alignment vertical="center" shrinkToFit="1"/>
    </xf>
    <xf numFmtId="41" fontId="40" fillId="27" borderId="14" xfId="492" applyFont="1" applyFill="1" applyBorder="1" applyAlignment="1">
      <alignment horizontal="center" vertical="center" shrinkToFit="1"/>
    </xf>
    <xf numFmtId="0" fontId="72" fillId="26" borderId="14" xfId="287" applyNumberFormat="1" applyFont="1" applyFill="1" applyBorder="1" applyAlignment="1">
      <alignment horizontal="center" vertical="center" shrinkToFit="1"/>
    </xf>
    <xf numFmtId="41" fontId="40" fillId="0" borderId="15" xfId="1132" applyFont="1" applyFill="1" applyBorder="1" applyAlignment="1">
      <alignment vertical="center" shrinkToFit="1"/>
    </xf>
    <xf numFmtId="41" fontId="40" fillId="0" borderId="6" xfId="1028" applyNumberFormat="1" applyFont="1" applyBorder="1" applyAlignment="1">
      <alignment vertical="center" shrinkToFit="1"/>
    </xf>
    <xf numFmtId="41" fontId="40" fillId="0" borderId="6" xfId="492" applyFont="1" applyFill="1" applyBorder="1" applyAlignment="1">
      <alignment vertical="center" shrinkToFit="1"/>
    </xf>
    <xf numFmtId="41" fontId="39" fillId="0" borderId="14" xfId="1028" applyNumberFormat="1" applyFont="1" applyBorder="1" applyAlignment="1">
      <alignment vertical="center" shrinkToFit="1"/>
    </xf>
    <xf numFmtId="41" fontId="73" fillId="0" borderId="15" xfId="1132" applyFont="1" applyFill="1" applyBorder="1" applyAlignment="1">
      <alignment vertical="center" shrinkToFit="1"/>
    </xf>
    <xf numFmtId="41" fontId="40" fillId="0" borderId="15" xfId="1027" applyFont="1" applyFill="1" applyBorder="1" applyAlignment="1">
      <alignment vertical="center" shrinkToFit="1"/>
    </xf>
    <xf numFmtId="41" fontId="40" fillId="0" borderId="15" xfId="1133" applyFont="1" applyFill="1" applyBorder="1" applyAlignment="1">
      <alignment vertical="center" shrinkToFit="1"/>
    </xf>
    <xf numFmtId="0" fontId="41" fillId="26" borderId="14" xfId="0" applyFont="1" applyFill="1" applyBorder="1" applyAlignment="1">
      <alignment horizontal="center" vertical="center"/>
    </xf>
    <xf numFmtId="41" fontId="42" fillId="0" borderId="0" xfId="111" applyFont="1" applyAlignment="1">
      <alignment vertical="center"/>
    </xf>
    <xf numFmtId="41" fontId="42" fillId="0" borderId="0" xfId="111" applyFont="1" applyAlignment="1">
      <alignment horizontal="center" vertical="center"/>
    </xf>
    <xf numFmtId="41" fontId="43" fillId="0" borderId="0" xfId="111" applyFont="1" applyBorder="1" applyAlignment="1">
      <alignment horizontal="left" vertical="center"/>
    </xf>
    <xf numFmtId="41" fontId="47" fillId="0" borderId="0" xfId="493" applyFont="1" applyAlignment="1" applyProtection="1">
      <alignment horizontal="center" vertical="center"/>
      <protection locked="0"/>
    </xf>
    <xf numFmtId="0" fontId="38" fillId="33" borderId="14" xfId="111" applyNumberFormat="1" applyFont="1" applyFill="1" applyBorder="1" applyAlignment="1">
      <alignment horizontal="center" vertical="center" wrapText="1"/>
    </xf>
    <xf numFmtId="0" fontId="38" fillId="27" borderId="14" xfId="111" applyNumberFormat="1" applyFont="1" applyFill="1" applyBorder="1" applyAlignment="1">
      <alignment horizontal="center" vertical="center" wrapText="1"/>
    </xf>
    <xf numFmtId="0" fontId="38" fillId="27" borderId="14" xfId="111" applyNumberFormat="1" applyFont="1" applyFill="1" applyBorder="1" applyAlignment="1">
      <alignment horizontal="center" vertical="center" shrinkToFit="1"/>
    </xf>
    <xf numFmtId="0" fontId="50" fillId="35" borderId="31" xfId="0" applyFont="1" applyFill="1" applyBorder="1" applyAlignment="1">
      <alignment horizontal="center" vertical="center" wrapText="1"/>
    </xf>
    <xf numFmtId="0" fontId="74" fillId="0" borderId="25" xfId="0" applyFont="1" applyBorder="1" applyAlignment="1">
      <alignment horizontal="center" vertical="center" wrapText="1"/>
    </xf>
    <xf numFmtId="41" fontId="74" fillId="0" borderId="2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1" fontId="75" fillId="0" borderId="0" xfId="1027" applyFont="1" applyAlignment="1">
      <alignment horizontal="center" vertical="center"/>
    </xf>
    <xf numFmtId="41" fontId="38" fillId="0" borderId="0" xfId="1027" applyFont="1" applyAlignment="1">
      <alignment horizontal="center" vertical="center"/>
    </xf>
    <xf numFmtId="41" fontId="38" fillId="0" borderId="0" xfId="111" applyFont="1" applyAlignment="1">
      <alignment horizontal="center" vertical="center"/>
    </xf>
    <xf numFmtId="41" fontId="43" fillId="0" borderId="0" xfId="111" applyFont="1" applyBorder="1" applyAlignment="1">
      <alignment vertical="center"/>
    </xf>
    <xf numFmtId="41" fontId="40" fillId="0" borderId="0" xfId="1027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0" xfId="0" applyFont="1">
      <alignment vertical="center"/>
    </xf>
    <xf numFmtId="0" fontId="39" fillId="35" borderId="6" xfId="111" applyNumberFormat="1" applyFont="1" applyFill="1" applyBorder="1" applyAlignment="1">
      <alignment horizontal="center" vertical="center" shrinkToFit="1"/>
    </xf>
    <xf numFmtId="0" fontId="39" fillId="35" borderId="6" xfId="111" applyNumberFormat="1" applyFont="1" applyFill="1" applyBorder="1" applyAlignment="1">
      <alignment horizontal="center" vertical="center" wrapText="1"/>
    </xf>
    <xf numFmtId="0" fontId="39" fillId="29" borderId="6" xfId="111" applyNumberFormat="1" applyFont="1" applyFill="1" applyBorder="1" applyAlignment="1">
      <alignment horizontal="center" vertical="center" shrinkToFit="1"/>
    </xf>
    <xf numFmtId="0" fontId="39" fillId="29" borderId="6" xfId="111" applyNumberFormat="1" applyFont="1" applyFill="1" applyBorder="1" applyAlignment="1">
      <alignment horizontal="center" vertical="center" wrapText="1"/>
    </xf>
    <xf numFmtId="0" fontId="39" fillId="30" borderId="6" xfId="111" applyNumberFormat="1" applyFont="1" applyFill="1" applyBorder="1" applyAlignment="1">
      <alignment horizontal="center" vertical="center" wrapText="1"/>
    </xf>
    <xf numFmtId="41" fontId="40" fillId="0" borderId="0" xfId="1027" applyFont="1">
      <alignment vertical="center"/>
    </xf>
    <xf numFmtId="41" fontId="40" fillId="0" borderId="6" xfId="0" applyNumberFormat="1" applyFont="1" applyBorder="1" applyAlignment="1">
      <alignment horizontal="center" vertical="center" shrinkToFit="1"/>
    </xf>
    <xf numFmtId="41" fontId="40" fillId="0" borderId="6" xfId="1117" applyNumberFormat="1" applyFont="1" applyBorder="1" applyAlignment="1">
      <alignment vertical="center" shrinkToFit="1"/>
    </xf>
    <xf numFmtId="41" fontId="0" fillId="0" borderId="0" xfId="1027" applyFont="1">
      <alignment vertical="center"/>
    </xf>
    <xf numFmtId="0" fontId="52" fillId="26" borderId="6" xfId="341" applyNumberFormat="1" applyFont="1" applyFill="1" applyBorder="1" applyAlignment="1">
      <alignment horizontal="center" vertical="center" shrinkToFit="1"/>
    </xf>
    <xf numFmtId="0" fontId="52" fillId="26" borderId="6" xfId="287" applyNumberFormat="1" applyFont="1" applyFill="1" applyBorder="1" applyAlignment="1">
      <alignment horizontal="center" vertical="center" shrinkToFit="1"/>
    </xf>
    <xf numFmtId="41" fontId="39" fillId="28" borderId="6" xfId="0" applyNumberFormat="1" applyFont="1" applyFill="1" applyBorder="1" applyAlignment="1">
      <alignment horizontal="center" vertical="center" shrinkToFit="1"/>
    </xf>
    <xf numFmtId="41" fontId="39" fillId="28" borderId="6" xfId="1117" applyNumberFormat="1" applyFont="1" applyFill="1" applyBorder="1" applyAlignment="1">
      <alignment vertical="center" shrinkToFit="1"/>
    </xf>
    <xf numFmtId="41" fontId="40" fillId="28" borderId="0" xfId="1117" applyNumberFormat="1" applyFont="1" applyFill="1" applyAlignment="1">
      <alignment vertical="center" shrinkToFit="1"/>
    </xf>
    <xf numFmtId="0" fontId="40" fillId="26" borderId="6" xfId="287" applyNumberFormat="1" applyFont="1" applyFill="1" applyBorder="1" applyAlignment="1">
      <alignment horizontal="center" vertical="center" shrinkToFit="1"/>
    </xf>
    <xf numFmtId="41" fontId="40" fillId="35" borderId="6" xfId="1027" applyFont="1" applyFill="1" applyBorder="1" applyAlignment="1">
      <alignment vertical="center" shrinkToFit="1"/>
    </xf>
    <xf numFmtId="41" fontId="40" fillId="28" borderId="6" xfId="1027" applyFont="1" applyFill="1" applyBorder="1" applyAlignment="1">
      <alignment vertical="center" shrinkToFit="1"/>
    </xf>
    <xf numFmtId="0" fontId="79" fillId="35" borderId="6" xfId="111" applyNumberFormat="1" applyFont="1" applyFill="1" applyBorder="1" applyAlignment="1">
      <alignment horizontal="center" vertical="center" shrinkToFit="1"/>
    </xf>
    <xf numFmtId="0" fontId="79" fillId="35" borderId="6" xfId="111" applyNumberFormat="1" applyFont="1" applyFill="1" applyBorder="1" applyAlignment="1">
      <alignment horizontal="center" vertical="center" wrapText="1"/>
    </xf>
    <xf numFmtId="0" fontId="79" fillId="29" borderId="6" xfId="111" applyNumberFormat="1" applyFont="1" applyFill="1" applyBorder="1" applyAlignment="1">
      <alignment horizontal="center" vertical="center" shrinkToFit="1"/>
    </xf>
    <xf numFmtId="0" fontId="79" fillId="29" borderId="6" xfId="111" applyNumberFormat="1" applyFont="1" applyFill="1" applyBorder="1" applyAlignment="1">
      <alignment horizontal="center" vertical="center" wrapText="1"/>
    </xf>
    <xf numFmtId="0" fontId="79" fillId="30" borderId="6" xfId="111" applyNumberFormat="1" applyFont="1" applyFill="1" applyBorder="1" applyAlignment="1">
      <alignment horizontal="center" vertical="center" shrinkToFit="1"/>
    </xf>
    <xf numFmtId="0" fontId="79" fillId="30" borderId="6" xfId="111" applyNumberFormat="1" applyFont="1" applyFill="1" applyBorder="1" applyAlignment="1">
      <alignment horizontal="center" vertical="center" wrapText="1"/>
    </xf>
    <xf numFmtId="0" fontId="81" fillId="26" borderId="6" xfId="287" applyNumberFormat="1" applyFont="1" applyFill="1" applyBorder="1" applyAlignment="1">
      <alignment horizontal="center" vertical="center" shrinkToFit="1"/>
    </xf>
    <xf numFmtId="0" fontId="81" fillId="28" borderId="6" xfId="287" applyNumberFormat="1" applyFont="1" applyFill="1" applyBorder="1" applyAlignment="1">
      <alignment horizontal="center" vertical="center" shrinkToFit="1"/>
    </xf>
    <xf numFmtId="41" fontId="81" fillId="29" borderId="6" xfId="1118" applyFont="1" applyFill="1" applyBorder="1" applyAlignment="1">
      <alignment horizontal="center" vertical="center" shrinkToFit="1"/>
    </xf>
    <xf numFmtId="41" fontId="82" fillId="30" borderId="6" xfId="1118" applyFont="1" applyFill="1" applyBorder="1" applyAlignment="1">
      <alignment horizontal="center" vertical="center" shrinkToFit="1"/>
    </xf>
    <xf numFmtId="41" fontId="82" fillId="26" borderId="6" xfId="1118" applyFont="1" applyFill="1" applyBorder="1" applyAlignment="1">
      <alignment horizontal="center" vertical="center" shrinkToFit="1"/>
    </xf>
    <xf numFmtId="41" fontId="40" fillId="28" borderId="6" xfId="492" applyFont="1" applyFill="1" applyBorder="1" applyAlignment="1">
      <alignment vertical="center" shrinkToFit="1"/>
    </xf>
    <xf numFmtId="41" fontId="70" fillId="28" borderId="25" xfId="1117" applyNumberFormat="1" applyFont="1" applyFill="1" applyBorder="1" applyAlignment="1">
      <alignment vertical="center"/>
    </xf>
    <xf numFmtId="41" fontId="81" fillId="0" borderId="77" xfId="1120" applyFont="1" applyFill="1" applyBorder="1" applyAlignment="1">
      <alignment vertical="center" shrinkToFit="1"/>
    </xf>
    <xf numFmtId="41" fontId="81" fillId="0" borderId="77" xfId="1120" applyFont="1" applyFill="1" applyBorder="1" applyAlignment="1">
      <alignment horizontal="right" vertical="center" shrinkToFit="1"/>
    </xf>
    <xf numFmtId="41" fontId="81" fillId="0" borderId="77" xfId="1121" applyFont="1" applyFill="1" applyBorder="1" applyAlignment="1">
      <alignment vertical="center" shrinkToFit="1"/>
    </xf>
    <xf numFmtId="41" fontId="81" fillId="0" borderId="77" xfId="1121" applyFont="1" applyFill="1" applyBorder="1" applyAlignment="1">
      <alignment horizontal="right" vertical="center" shrinkToFit="1"/>
    </xf>
    <xf numFmtId="0" fontId="20" fillId="28" borderId="6" xfId="287" applyNumberFormat="1" applyFont="1" applyFill="1" applyBorder="1" applyAlignment="1">
      <alignment horizontal="center" vertical="center" shrinkToFit="1"/>
    </xf>
    <xf numFmtId="41" fontId="81" fillId="0" borderId="77" xfId="492" applyFont="1" applyFill="1" applyBorder="1" applyAlignment="1">
      <alignment vertical="center" shrinkToFit="1"/>
    </xf>
    <xf numFmtId="41" fontId="81" fillId="0" borderId="77" xfId="492" applyFont="1" applyFill="1" applyBorder="1" applyAlignment="1">
      <alignment horizontal="right" vertical="center" shrinkToFit="1"/>
    </xf>
    <xf numFmtId="41" fontId="81" fillId="0" borderId="77" xfId="1118" applyFont="1" applyFill="1" applyBorder="1" applyAlignment="1">
      <alignment vertical="center" shrinkToFit="1"/>
    </xf>
    <xf numFmtId="41" fontId="81" fillId="0" borderId="77" xfId="1118" applyFont="1" applyFill="1" applyBorder="1" applyAlignment="1">
      <alignment horizontal="right" vertical="center" shrinkToFit="1"/>
    </xf>
    <xf numFmtId="41" fontId="83" fillId="0" borderId="78" xfId="1119" applyFont="1" applyBorder="1" applyAlignment="1">
      <alignment vertical="center" shrinkToFit="1"/>
    </xf>
    <xf numFmtId="41" fontId="83" fillId="0" borderId="78" xfId="1119" applyFont="1" applyBorder="1" applyAlignment="1">
      <alignment horizontal="right" vertical="center" shrinkToFit="1"/>
    </xf>
    <xf numFmtId="41" fontId="81" fillId="0" borderId="6" xfId="492" applyFont="1" applyFill="1" applyBorder="1" applyAlignment="1">
      <alignment horizontal="right" vertical="center" shrinkToFit="1"/>
    </xf>
    <xf numFmtId="41" fontId="81" fillId="0" borderId="6" xfId="1027" applyFont="1" applyFill="1" applyBorder="1" applyAlignment="1">
      <alignment horizontal="right" vertical="center" shrinkToFit="1"/>
    </xf>
    <xf numFmtId="41" fontId="40" fillId="0" borderId="14" xfId="112" applyFont="1" applyFill="1" applyBorder="1" applyAlignment="1">
      <alignment vertical="center" shrinkToFit="1"/>
    </xf>
    <xf numFmtId="41" fontId="40" fillId="0" borderId="14" xfId="1118" applyFont="1" applyFill="1" applyBorder="1" applyAlignment="1">
      <alignment vertical="center" shrinkToFit="1"/>
    </xf>
    <xf numFmtId="41" fontId="84" fillId="28" borderId="6" xfId="492" applyFont="1" applyFill="1" applyBorder="1" applyAlignment="1">
      <alignment vertical="center" shrinkToFit="1"/>
    </xf>
    <xf numFmtId="41" fontId="40" fillId="0" borderId="14" xfId="1121" applyFont="1" applyFill="1" applyBorder="1" applyAlignment="1">
      <alignment vertical="center" shrinkToFit="1"/>
    </xf>
    <xf numFmtId="41" fontId="40" fillId="28" borderId="14" xfId="1121" applyFont="1" applyFill="1" applyBorder="1" applyAlignment="1">
      <alignment vertical="center" shrinkToFit="1"/>
    </xf>
    <xf numFmtId="0" fontId="1" fillId="0" borderId="0" xfId="1026">
      <alignment vertical="center"/>
    </xf>
    <xf numFmtId="41" fontId="81" fillId="0" borderId="77" xfId="1027" applyFont="1" applyFill="1" applyBorder="1" applyAlignment="1">
      <alignment vertical="center" shrinkToFit="1"/>
    </xf>
    <xf numFmtId="41" fontId="82" fillId="35" borderId="6" xfId="0" applyNumberFormat="1" applyFont="1" applyFill="1" applyBorder="1" applyAlignment="1">
      <alignment vertical="center" shrinkToFit="1"/>
    </xf>
    <xf numFmtId="41" fontId="82" fillId="0" borderId="6" xfId="0" applyNumberFormat="1" applyFont="1" applyBorder="1" applyAlignment="1">
      <alignment vertical="center" shrinkToFit="1"/>
    </xf>
    <xf numFmtId="41" fontId="20" fillId="29" borderId="6" xfId="1118" applyFont="1" applyFill="1" applyBorder="1" applyAlignment="1">
      <alignment horizontal="center" vertical="center" shrinkToFit="1"/>
    </xf>
    <xf numFmtId="41" fontId="82" fillId="26" borderId="6" xfId="0" applyNumberFormat="1" applyFont="1" applyFill="1" applyBorder="1" applyAlignment="1">
      <alignment vertical="center" shrinkToFit="1"/>
    </xf>
    <xf numFmtId="41" fontId="41" fillId="0" borderId="0" xfId="0" applyNumberFormat="1" applyFont="1" applyAlignment="1">
      <alignment vertical="center" shrinkToFit="1"/>
    </xf>
    <xf numFmtId="41" fontId="86" fillId="28" borderId="6" xfId="492" applyFont="1" applyFill="1" applyBorder="1" applyAlignment="1">
      <alignment vertical="center" shrinkToFit="1"/>
    </xf>
    <xf numFmtId="41" fontId="40" fillId="28" borderId="21" xfId="492" applyFont="1" applyFill="1" applyBorder="1" applyAlignment="1">
      <alignment vertical="center" shrinkToFit="1"/>
    </xf>
    <xf numFmtId="41" fontId="40" fillId="28" borderId="19" xfId="492" applyFont="1" applyFill="1" applyBorder="1" applyAlignment="1">
      <alignment vertical="center" shrinkToFit="1"/>
    </xf>
    <xf numFmtId="41" fontId="40" fillId="28" borderId="76" xfId="492" applyFont="1" applyFill="1" applyBorder="1" applyAlignment="1">
      <alignment vertical="center" shrinkToFit="1"/>
    </xf>
    <xf numFmtId="41" fontId="52" fillId="0" borderId="33" xfId="1119" applyFont="1" applyBorder="1" applyAlignment="1">
      <alignment horizontal="right" vertical="center" shrinkToFit="1"/>
    </xf>
    <xf numFmtId="41" fontId="52" fillId="0" borderId="29" xfId="1119" applyFont="1" applyBorder="1" applyAlignment="1">
      <alignment vertical="center" shrinkToFit="1"/>
    </xf>
    <xf numFmtId="41" fontId="81" fillId="0" borderId="81" xfId="1120" applyFont="1" applyFill="1" applyBorder="1" applyAlignment="1">
      <alignment vertical="center" shrinkToFit="1"/>
    </xf>
    <xf numFmtId="41" fontId="81" fillId="0" borderId="82" xfId="1120" applyFont="1" applyFill="1" applyBorder="1" applyAlignment="1">
      <alignment horizontal="right" vertical="center" shrinkToFit="1"/>
    </xf>
    <xf numFmtId="41" fontId="86" fillId="28" borderId="83" xfId="492" applyFont="1" applyFill="1" applyBorder="1" applyAlignment="1">
      <alignment vertical="center" shrinkToFit="1"/>
    </xf>
    <xf numFmtId="41" fontId="40" fillId="0" borderId="21" xfId="492" applyFont="1" applyFill="1" applyBorder="1" applyAlignment="1">
      <alignment vertical="center" shrinkToFit="1"/>
    </xf>
    <xf numFmtId="41" fontId="40" fillId="0" borderId="19" xfId="492" applyFont="1" applyFill="1" applyBorder="1" applyAlignment="1">
      <alignment vertical="center" shrinkToFit="1"/>
    </xf>
    <xf numFmtId="41" fontId="40" fillId="0" borderId="6" xfId="1027" applyFont="1" applyFill="1" applyBorder="1" applyAlignment="1">
      <alignment horizontal="right" vertical="center" shrinkToFit="1"/>
    </xf>
    <xf numFmtId="41" fontId="40" fillId="0" borderId="75" xfId="1027" applyFont="1" applyFill="1" applyBorder="1" applyAlignment="1">
      <alignment horizontal="right" vertical="center" shrinkToFit="1"/>
    </xf>
    <xf numFmtId="41" fontId="40" fillId="0" borderId="19" xfId="492" applyFont="1" applyFill="1" applyBorder="1" applyAlignment="1">
      <alignment horizontal="right" vertical="center" shrinkToFit="1"/>
    </xf>
    <xf numFmtId="41" fontId="81" fillId="0" borderId="81" xfId="1121" applyFont="1" applyFill="1" applyBorder="1" applyAlignment="1">
      <alignment vertical="center" shrinkToFit="1"/>
    </xf>
    <xf numFmtId="41" fontId="81" fillId="0" borderId="82" xfId="1121" applyFont="1" applyFill="1" applyBorder="1" applyAlignment="1">
      <alignment horizontal="right" vertical="center" shrinkToFit="1"/>
    </xf>
    <xf numFmtId="41" fontId="39" fillId="0" borderId="21" xfId="492" applyFont="1" applyFill="1" applyBorder="1" applyAlignment="1">
      <alignment horizontal="center" vertical="center" shrinkToFit="1"/>
    </xf>
    <xf numFmtId="41" fontId="40" fillId="0" borderId="19" xfId="1123" applyFont="1" applyFill="1" applyBorder="1" applyAlignment="1">
      <alignment horizontal="right" vertical="center" shrinkToFit="1"/>
    </xf>
    <xf numFmtId="41" fontId="40" fillId="0" borderId="19" xfId="1027" applyFont="1" applyFill="1" applyBorder="1" applyAlignment="1">
      <alignment horizontal="right" vertical="center" shrinkToFit="1"/>
    </xf>
    <xf numFmtId="41" fontId="81" fillId="0" borderId="81" xfId="492" applyFont="1" applyFill="1" applyBorder="1" applyAlignment="1">
      <alignment vertical="center" shrinkToFit="1"/>
    </xf>
    <xf numFmtId="41" fontId="81" fillId="0" borderId="82" xfId="492" applyFont="1" applyFill="1" applyBorder="1" applyAlignment="1">
      <alignment horizontal="right" vertical="center" shrinkToFit="1"/>
    </xf>
    <xf numFmtId="41" fontId="40" fillId="28" borderId="6" xfId="492" applyFont="1" applyFill="1" applyBorder="1" applyAlignment="1">
      <alignment horizontal="center" vertical="center" shrinkToFit="1"/>
    </xf>
    <xf numFmtId="41" fontId="40" fillId="28" borderId="6" xfId="1125" applyFont="1" applyFill="1" applyBorder="1" applyAlignment="1">
      <alignment vertical="center" shrinkToFit="1"/>
    </xf>
    <xf numFmtId="41" fontId="40" fillId="28" borderId="19" xfId="1125" applyFont="1" applyFill="1" applyBorder="1" applyAlignment="1">
      <alignment vertical="center" shrinkToFit="1"/>
    </xf>
    <xf numFmtId="41" fontId="40" fillId="0" borderId="19" xfId="1126" applyFont="1" applyFill="1" applyBorder="1" applyAlignment="1">
      <alignment horizontal="right" vertical="center" shrinkToFit="1"/>
    </xf>
    <xf numFmtId="41" fontId="81" fillId="0" borderId="81" xfId="1118" applyFont="1" applyFill="1" applyBorder="1" applyAlignment="1">
      <alignment vertical="center" shrinkToFit="1"/>
    </xf>
    <xf numFmtId="41" fontId="81" fillId="0" borderId="82" xfId="1118" applyFont="1" applyFill="1" applyBorder="1" applyAlignment="1">
      <alignment horizontal="right" vertical="center" shrinkToFit="1"/>
    </xf>
    <xf numFmtId="41" fontId="45" fillId="0" borderId="19" xfId="1027" applyFont="1" applyFill="1" applyBorder="1" applyAlignment="1">
      <alignment horizontal="right" vertical="center" shrinkToFit="1"/>
    </xf>
    <xf numFmtId="41" fontId="52" fillId="0" borderId="33" xfId="1127" applyFont="1" applyBorder="1" applyAlignment="1">
      <alignment horizontal="right" vertical="center" shrinkToFit="1"/>
    </xf>
    <xf numFmtId="41" fontId="83" fillId="0" borderId="84" xfId="1119" applyFont="1" applyBorder="1" applyAlignment="1">
      <alignment vertical="center" shrinkToFit="1"/>
    </xf>
    <xf numFmtId="41" fontId="83" fillId="0" borderId="85" xfId="1119" applyFont="1" applyBorder="1" applyAlignment="1">
      <alignment horizontal="right" vertical="center" shrinkToFit="1"/>
    </xf>
    <xf numFmtId="41" fontId="81" fillId="0" borderId="75" xfId="1027" applyFont="1" applyFill="1" applyBorder="1" applyAlignment="1">
      <alignment horizontal="right" vertical="center" shrinkToFit="1"/>
    </xf>
    <xf numFmtId="41" fontId="40" fillId="0" borderId="21" xfId="1118" applyFont="1" applyFill="1" applyBorder="1" applyAlignment="1">
      <alignment vertical="center" shrinkToFit="1"/>
    </xf>
    <xf numFmtId="41" fontId="84" fillId="28" borderId="75" xfId="492" applyFont="1" applyFill="1" applyBorder="1" applyAlignment="1">
      <alignment vertical="center" shrinkToFit="1"/>
    </xf>
    <xf numFmtId="41" fontId="81" fillId="0" borderId="82" xfId="1121" applyFont="1" applyFill="1" applyBorder="1" applyAlignment="1">
      <alignment vertical="center" shrinkToFit="1"/>
    </xf>
    <xf numFmtId="41" fontId="85" fillId="0" borderId="6" xfId="0" applyNumberFormat="1" applyFont="1" applyBorder="1" applyAlignment="1">
      <alignment vertical="center" shrinkToFit="1"/>
    </xf>
    <xf numFmtId="41" fontId="82" fillId="0" borderId="75" xfId="0" applyNumberFormat="1" applyFont="1" applyBorder="1" applyAlignment="1">
      <alignment vertical="center" shrinkToFit="1"/>
    </xf>
    <xf numFmtId="41" fontId="81" fillId="0" borderId="6" xfId="1120" applyFont="1" applyFill="1" applyBorder="1" applyAlignment="1">
      <alignment vertical="center" shrinkToFit="1"/>
    </xf>
    <xf numFmtId="41" fontId="81" fillId="0" borderId="6" xfId="1120" applyFont="1" applyFill="1" applyBorder="1" applyAlignment="1">
      <alignment horizontal="right" vertical="center" shrinkToFit="1"/>
    </xf>
    <xf numFmtId="41" fontId="81" fillId="0" borderId="6" xfId="1121" applyFont="1" applyFill="1" applyBorder="1" applyAlignment="1">
      <alignment vertical="center" shrinkToFit="1"/>
    </xf>
    <xf numFmtId="41" fontId="81" fillId="0" borderId="6" xfId="1121" applyFont="1" applyFill="1" applyBorder="1" applyAlignment="1">
      <alignment horizontal="right" vertical="center" shrinkToFit="1"/>
    </xf>
    <xf numFmtId="41" fontId="81" fillId="0" borderId="6" xfId="492" applyFont="1" applyFill="1" applyBorder="1" applyAlignment="1">
      <alignment vertical="center" shrinkToFit="1"/>
    </xf>
    <xf numFmtId="41" fontId="81" fillId="0" borderId="6" xfId="1118" applyFont="1" applyFill="1" applyBorder="1" applyAlignment="1">
      <alignment vertical="center" shrinkToFit="1"/>
    </xf>
    <xf numFmtId="41" fontId="81" fillId="0" borderId="6" xfId="1118" applyFont="1" applyFill="1" applyBorder="1" applyAlignment="1">
      <alignment horizontal="right" vertical="center" shrinkToFit="1"/>
    </xf>
    <xf numFmtId="41" fontId="83" fillId="0" borderId="6" xfId="1119" applyFont="1" applyBorder="1" applyAlignment="1">
      <alignment vertical="center" shrinkToFit="1"/>
    </xf>
    <xf numFmtId="41" fontId="83" fillId="0" borderId="6" xfId="1119" applyFont="1" applyBorder="1" applyAlignment="1">
      <alignment horizontal="right" vertical="center" shrinkToFit="1"/>
    </xf>
    <xf numFmtId="41" fontId="81" fillId="0" borderId="6" xfId="1027" applyFont="1" applyFill="1" applyBorder="1" applyAlignment="1">
      <alignment vertical="center" shrinkToFit="1"/>
    </xf>
    <xf numFmtId="41" fontId="52" fillId="0" borderId="6" xfId="1119" applyFont="1" applyBorder="1" applyAlignment="1">
      <alignment horizontal="center" vertical="center" shrinkToFit="1"/>
    </xf>
    <xf numFmtId="41" fontId="52" fillId="0" borderId="6" xfId="1119" applyFont="1" applyBorder="1" applyAlignment="1">
      <alignment horizontal="right" vertical="center" shrinkToFit="1"/>
    </xf>
    <xf numFmtId="41" fontId="52" fillId="0" borderId="6" xfId="1119" applyFont="1" applyBorder="1" applyAlignment="1">
      <alignment vertical="center" shrinkToFit="1"/>
    </xf>
    <xf numFmtId="41" fontId="70" fillId="28" borderId="6" xfId="1119" applyFont="1" applyFill="1" applyBorder="1" applyAlignment="1">
      <alignment horizontal="center" vertical="center" shrinkToFit="1"/>
    </xf>
    <xf numFmtId="41" fontId="70" fillId="28" borderId="6" xfId="1117" applyNumberFormat="1" applyFont="1" applyFill="1" applyBorder="1" applyAlignment="1">
      <alignment vertical="center"/>
    </xf>
    <xf numFmtId="41" fontId="40" fillId="0" borderId="6" xfId="1027" applyFont="1" applyFill="1" applyBorder="1" applyAlignment="1">
      <alignment horizontal="center" vertical="center" shrinkToFit="1"/>
    </xf>
    <xf numFmtId="41" fontId="40" fillId="0" borderId="6" xfId="492" applyFont="1" applyFill="1" applyBorder="1" applyAlignment="1">
      <alignment horizontal="right" vertical="center" shrinkToFit="1"/>
    </xf>
    <xf numFmtId="41" fontId="39" fillId="0" borderId="6" xfId="492" applyFont="1" applyFill="1" applyBorder="1" applyAlignment="1">
      <alignment horizontal="center" vertical="center" shrinkToFit="1"/>
    </xf>
    <xf numFmtId="41" fontId="39" fillId="0" borderId="6" xfId="492" applyFont="1" applyFill="1" applyBorder="1" applyAlignment="1">
      <alignment vertical="center" shrinkToFit="1"/>
    </xf>
    <xf numFmtId="41" fontId="40" fillId="0" borderId="6" xfId="1122" applyFont="1" applyFill="1" applyBorder="1" applyAlignment="1">
      <alignment horizontal="center" vertical="center" shrinkToFit="1"/>
    </xf>
    <xf numFmtId="41" fontId="40" fillId="0" borderId="6" xfId="1123" applyFont="1" applyFill="1" applyBorder="1" applyAlignment="1">
      <alignment horizontal="right" vertical="center" shrinkToFit="1"/>
    </xf>
    <xf numFmtId="41" fontId="40" fillId="0" borderId="6" xfId="1118" applyFont="1" applyFill="1" applyBorder="1" applyAlignment="1">
      <alignment horizontal="center" vertical="center" shrinkToFit="1"/>
    </xf>
    <xf numFmtId="41" fontId="40" fillId="0" borderId="6" xfId="1126" applyFont="1" applyFill="1" applyBorder="1" applyAlignment="1">
      <alignment horizontal="right" vertical="center" shrinkToFit="1"/>
    </xf>
    <xf numFmtId="41" fontId="45" fillId="0" borderId="6" xfId="492" applyFont="1" applyFill="1" applyBorder="1" applyAlignment="1">
      <alignment horizontal="center" vertical="center" shrinkToFit="1"/>
    </xf>
    <xf numFmtId="41" fontId="45" fillId="0" borderId="6" xfId="1027" applyFont="1" applyFill="1" applyBorder="1" applyAlignment="1">
      <alignment horizontal="right" vertical="center" shrinkToFit="1"/>
    </xf>
    <xf numFmtId="41" fontId="45" fillId="0" borderId="6" xfId="492" applyFont="1" applyFill="1" applyBorder="1" applyAlignment="1">
      <alignment vertical="center" shrinkToFit="1"/>
    </xf>
    <xf numFmtId="41" fontId="52" fillId="0" borderId="6" xfId="1127" applyFont="1" applyBorder="1" applyAlignment="1">
      <alignment horizontal="right" vertical="center" shrinkToFit="1"/>
    </xf>
    <xf numFmtId="41" fontId="40" fillId="0" borderId="6" xfId="112" applyFont="1" applyFill="1" applyBorder="1" applyAlignment="1">
      <alignment vertical="center" shrinkToFit="1"/>
    </xf>
    <xf numFmtId="41" fontId="40" fillId="0" borderId="6" xfId="1118" applyFont="1" applyFill="1" applyBorder="1" applyAlignment="1">
      <alignment vertical="center" shrinkToFit="1"/>
    </xf>
    <xf numFmtId="41" fontId="40" fillId="0" borderId="6" xfId="1121" applyFont="1" applyFill="1" applyBorder="1" applyAlignment="1">
      <alignment vertical="center" shrinkToFit="1"/>
    </xf>
    <xf numFmtId="41" fontId="40" fillId="28" borderId="6" xfId="1121" applyFont="1" applyFill="1" applyBorder="1" applyAlignment="1">
      <alignment vertical="center" shrinkToFit="1"/>
    </xf>
    <xf numFmtId="0" fontId="50" fillId="0" borderId="0" xfId="0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horizontal="right" wrapText="1"/>
    </xf>
    <xf numFmtId="0" fontId="0" fillId="0" borderId="0" xfId="0" applyBorder="1">
      <alignment vertical="center"/>
    </xf>
    <xf numFmtId="0" fontId="50" fillId="0" borderId="0" xfId="0" applyFont="1" applyFill="1" applyBorder="1" applyAlignment="1">
      <alignment vertical="center"/>
    </xf>
    <xf numFmtId="0" fontId="62" fillId="28" borderId="0" xfId="0" applyFont="1" applyFill="1" applyAlignment="1">
      <alignment vertical="center" wrapText="1"/>
    </xf>
    <xf numFmtId="41" fontId="40" fillId="28" borderId="14" xfId="1028" applyNumberFormat="1" applyFont="1" applyFill="1" applyBorder="1" applyAlignment="1">
      <alignment horizontal="center" vertical="center" shrinkToFit="1"/>
    </xf>
    <xf numFmtId="41" fontId="40" fillId="0" borderId="14" xfId="1028" applyNumberFormat="1" applyFont="1" applyBorder="1" applyAlignment="1">
      <alignment horizontal="right" vertical="center" shrinkToFit="1"/>
    </xf>
    <xf numFmtId="41" fontId="40" fillId="0" borderId="14" xfId="1028" applyNumberFormat="1" applyFont="1" applyBorder="1" applyAlignment="1">
      <alignment horizontal="center" vertical="center" shrinkToFit="1"/>
    </xf>
    <xf numFmtId="41" fontId="40" fillId="33" borderId="14" xfId="492" applyFont="1" applyFill="1" applyBorder="1" applyAlignment="1">
      <alignment horizontal="right" vertical="center" shrinkToFit="1"/>
    </xf>
    <xf numFmtId="41" fontId="40" fillId="27" borderId="14" xfId="492" applyFont="1" applyFill="1" applyBorder="1" applyAlignment="1">
      <alignment horizontal="right" vertical="center" shrinkToFit="1"/>
    </xf>
    <xf numFmtId="0" fontId="97" fillId="0" borderId="0" xfId="0" applyFont="1" applyFill="1" applyAlignment="1">
      <alignment vertical="center" wrapText="1"/>
    </xf>
    <xf numFmtId="14" fontId="0" fillId="0" borderId="6" xfId="0" applyNumberFormat="1" applyFill="1" applyBorder="1" applyAlignment="1">
      <alignment horizontal="center" vertical="center"/>
    </xf>
    <xf numFmtId="9" fontId="0" fillId="0" borderId="6" xfId="0" applyNumberFormat="1" applyFill="1" applyBorder="1" applyAlignment="1">
      <alignment horizontal="center" vertical="center"/>
    </xf>
    <xf numFmtId="41" fontId="0" fillId="0" borderId="6" xfId="493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41" fontId="99" fillId="36" borderId="6" xfId="0" applyNumberFormat="1" applyFont="1" applyFill="1" applyBorder="1" applyAlignment="1">
      <alignment horizontal="center" vertical="center"/>
    </xf>
    <xf numFmtId="184" fontId="0" fillId="32" borderId="6" xfId="0" applyNumberFormat="1" applyFill="1" applyBorder="1" applyAlignment="1">
      <alignment horizontal="center" vertical="center"/>
    </xf>
    <xf numFmtId="41" fontId="0" fillId="32" borderId="6" xfId="493" applyFont="1" applyFill="1" applyBorder="1" applyAlignment="1">
      <alignment horizontal="center" vertical="center"/>
    </xf>
    <xf numFmtId="9" fontId="92" fillId="26" borderId="6" xfId="0" applyNumberFormat="1" applyFont="1" applyFill="1" applyBorder="1" applyAlignment="1">
      <alignment horizontal="center" vertical="center" wrapText="1"/>
    </xf>
    <xf numFmtId="9" fontId="95" fillId="26" borderId="6" xfId="0" applyNumberFormat="1" applyFont="1" applyFill="1" applyBorder="1" applyAlignment="1">
      <alignment horizontal="center" vertical="center" wrapText="1"/>
    </xf>
    <xf numFmtId="0" fontId="95" fillId="26" borderId="6" xfId="0" applyFont="1" applyFill="1" applyBorder="1" applyAlignment="1">
      <alignment horizontal="center" vertical="center" wrapText="1"/>
    </xf>
    <xf numFmtId="0" fontId="95" fillId="26" borderId="75" xfId="0" applyFont="1" applyFill="1" applyBorder="1" applyAlignment="1">
      <alignment horizontal="center" vertical="center" wrapText="1"/>
    </xf>
    <xf numFmtId="0" fontId="96" fillId="26" borderId="89" xfId="0" applyFont="1" applyFill="1" applyBorder="1" applyAlignment="1">
      <alignment horizontal="center" vertical="center" wrapText="1"/>
    </xf>
    <xf numFmtId="0" fontId="38" fillId="26" borderId="6" xfId="0" applyFont="1" applyFill="1" applyBorder="1" applyAlignment="1">
      <alignment horizontal="center" vertical="center" wrapText="1"/>
    </xf>
    <xf numFmtId="14" fontId="38" fillId="26" borderId="6" xfId="0" applyNumberFormat="1" applyFont="1" applyFill="1" applyBorder="1" applyAlignment="1">
      <alignment horizontal="center" vertical="center" wrapText="1"/>
    </xf>
    <xf numFmtId="14" fontId="38" fillId="26" borderId="6" xfId="0" applyNumberFormat="1" applyFont="1" applyFill="1" applyBorder="1" applyAlignment="1">
      <alignment horizontal="center" vertical="center"/>
    </xf>
    <xf numFmtId="0" fontId="38" fillId="26" borderId="6" xfId="0" applyFont="1" applyFill="1" applyBorder="1" applyAlignment="1">
      <alignment horizontal="center" vertical="center"/>
    </xf>
    <xf numFmtId="0" fontId="104" fillId="0" borderId="0" xfId="0" applyFont="1">
      <alignment vertical="center"/>
    </xf>
    <xf numFmtId="3" fontId="106" fillId="0" borderId="90" xfId="0" applyNumberFormat="1" applyFont="1" applyBorder="1" applyAlignment="1">
      <alignment horizontal="center" vertical="center" wrapText="1"/>
    </xf>
    <xf numFmtId="3" fontId="106" fillId="37" borderId="91" xfId="0" applyNumberFormat="1" applyFont="1" applyFill="1" applyBorder="1" applyAlignment="1">
      <alignment horizontal="center" vertical="center" wrapText="1"/>
    </xf>
    <xf numFmtId="3" fontId="105" fillId="0" borderId="6" xfId="0" applyNumberFormat="1" applyFont="1" applyBorder="1" applyAlignment="1">
      <alignment horizontal="center" vertical="center" wrapText="1"/>
    </xf>
    <xf numFmtId="3" fontId="105" fillId="0" borderId="75" xfId="0" applyNumberFormat="1" applyFont="1" applyBorder="1" applyAlignment="1">
      <alignment horizontal="center" vertical="center" wrapText="1"/>
    </xf>
    <xf numFmtId="3" fontId="105" fillId="37" borderId="6" xfId="0" applyNumberFormat="1" applyFont="1" applyFill="1" applyBorder="1" applyAlignment="1">
      <alignment horizontal="center" vertical="center" wrapText="1"/>
    </xf>
    <xf numFmtId="3" fontId="105" fillId="37" borderId="75" xfId="0" applyNumberFormat="1" applyFont="1" applyFill="1" applyBorder="1" applyAlignment="1">
      <alignment horizontal="center" vertical="center" wrapText="1"/>
    </xf>
    <xf numFmtId="3" fontId="105" fillId="0" borderId="76" xfId="0" applyNumberFormat="1" applyFont="1" applyBorder="1" applyAlignment="1">
      <alignment horizontal="center" vertical="center" wrapText="1"/>
    </xf>
    <xf numFmtId="3" fontId="105" fillId="37" borderId="76" xfId="0" applyNumberFormat="1" applyFont="1" applyFill="1" applyBorder="1" applyAlignment="1">
      <alignment horizontal="center" vertical="center" wrapText="1"/>
    </xf>
    <xf numFmtId="41" fontId="52" fillId="32" borderId="6" xfId="0" applyNumberFormat="1" applyFont="1" applyFill="1" applyBorder="1" applyAlignment="1">
      <alignment horizontal="center" vertical="center" wrapText="1"/>
    </xf>
    <xf numFmtId="0" fontId="52" fillId="31" borderId="87" xfId="0" applyFont="1" applyFill="1" applyBorder="1" applyAlignment="1">
      <alignment horizontal="center" vertical="center" wrapText="1"/>
    </xf>
    <xf numFmtId="41" fontId="52" fillId="35" borderId="96" xfId="0" applyNumberFormat="1" applyFont="1" applyFill="1" applyBorder="1" applyAlignment="1">
      <alignment horizontal="right" vertical="center" wrapText="1"/>
    </xf>
    <xf numFmtId="0" fontId="50" fillId="35" borderId="79" xfId="0" applyFont="1" applyFill="1" applyBorder="1" applyAlignment="1">
      <alignment horizontal="center" vertical="center" wrapText="1"/>
    </xf>
    <xf numFmtId="41" fontId="52" fillId="0" borderId="96" xfId="1027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30" borderId="16" xfId="0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0" fillId="30" borderId="37" xfId="0" applyFill="1" applyBorder="1" applyAlignment="1">
      <alignment horizontal="left" vertical="center" wrapText="1"/>
    </xf>
    <xf numFmtId="0" fontId="0" fillId="30" borderId="37" xfId="0" applyFill="1" applyBorder="1" applyAlignment="1">
      <alignment horizontal="left" vertical="center"/>
    </xf>
    <xf numFmtId="0" fontId="0" fillId="30" borderId="14" xfId="0" applyFill="1" applyBorder="1" applyAlignment="1">
      <alignment horizontal="center" vertical="center"/>
    </xf>
    <xf numFmtId="0" fontId="0" fillId="30" borderId="19" xfId="0" applyFill="1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31" borderId="37" xfId="0" applyFill="1" applyBorder="1" applyAlignment="1">
      <alignment horizontal="left" vertical="center" wrapText="1"/>
    </xf>
    <xf numFmtId="0" fontId="0" fillId="31" borderId="37" xfId="0" applyFill="1" applyBorder="1" applyAlignment="1">
      <alignment horizontal="left" vertical="center"/>
    </xf>
    <xf numFmtId="0" fontId="0" fillId="31" borderId="14" xfId="0" applyFill="1" applyBorder="1" applyAlignment="1">
      <alignment horizontal="center" vertical="center"/>
    </xf>
    <xf numFmtId="0" fontId="0" fillId="31" borderId="19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0" fontId="40" fillId="26" borderId="75" xfId="0" applyFont="1" applyFill="1" applyBorder="1" applyAlignment="1">
      <alignment horizontal="center" vertical="center"/>
    </xf>
    <xf numFmtId="0" fontId="40" fillId="26" borderId="4" xfId="0" applyFont="1" applyFill="1" applyBorder="1" applyAlignment="1">
      <alignment horizontal="center" vertical="center"/>
    </xf>
    <xf numFmtId="0" fontId="40" fillId="26" borderId="76" xfId="0" applyFont="1" applyFill="1" applyBorder="1" applyAlignment="1">
      <alignment horizontal="center" vertical="center"/>
    </xf>
    <xf numFmtId="0" fontId="39" fillId="30" borderId="6" xfId="111" applyNumberFormat="1" applyFont="1" applyFill="1" applyBorder="1" applyAlignment="1">
      <alignment horizontal="center" vertical="center" wrapText="1"/>
    </xf>
    <xf numFmtId="41" fontId="42" fillId="0" borderId="0" xfId="111" applyFont="1" applyAlignment="1">
      <alignment horizontal="center" vertical="center"/>
    </xf>
    <xf numFmtId="0" fontId="39" fillId="29" borderId="6" xfId="111" applyNumberFormat="1" applyFont="1" applyFill="1" applyBorder="1" applyAlignment="1">
      <alignment horizontal="center" vertical="center" wrapText="1"/>
    </xf>
    <xf numFmtId="0" fontId="39" fillId="26" borderId="6" xfId="111" applyNumberFormat="1" applyFont="1" applyFill="1" applyBorder="1" applyAlignment="1">
      <alignment horizontal="center" vertical="center" shrinkToFit="1"/>
    </xf>
    <xf numFmtId="0" fontId="39" fillId="26" borderId="6" xfId="111" applyNumberFormat="1" applyFont="1" applyFill="1" applyBorder="1" applyAlignment="1">
      <alignment horizontal="center" vertical="center" wrapText="1" shrinkToFit="1"/>
    </xf>
    <xf numFmtId="0" fontId="39" fillId="26" borderId="6" xfId="111" applyNumberFormat="1" applyFont="1" applyFill="1" applyBorder="1" applyAlignment="1">
      <alignment horizontal="center" vertical="center" wrapText="1"/>
    </xf>
    <xf numFmtId="0" fontId="39" fillId="35" borderId="6" xfId="111" applyNumberFormat="1" applyFont="1" applyFill="1" applyBorder="1" applyAlignment="1">
      <alignment horizontal="center" vertical="center" wrapText="1"/>
    </xf>
    <xf numFmtId="0" fontId="79" fillId="29" borderId="6" xfId="111" applyNumberFormat="1" applyFont="1" applyFill="1" applyBorder="1" applyAlignment="1">
      <alignment horizontal="center" vertical="center" wrapText="1"/>
    </xf>
    <xf numFmtId="0" fontId="85" fillId="0" borderId="79" xfId="111" applyNumberFormat="1" applyFont="1" applyFill="1" applyBorder="1" applyAlignment="1">
      <alignment horizontal="center" vertical="center" wrapText="1"/>
    </xf>
    <xf numFmtId="0" fontId="85" fillId="0" borderId="80" xfId="111" applyNumberFormat="1" applyFont="1" applyFill="1" applyBorder="1" applyAlignment="1">
      <alignment horizontal="center" vertical="center" wrapText="1"/>
    </xf>
    <xf numFmtId="0" fontId="79" fillId="26" borderId="6" xfId="111" applyNumberFormat="1" applyFont="1" applyFill="1" applyBorder="1" applyAlignment="1">
      <alignment horizontal="center" vertical="center" wrapText="1"/>
    </xf>
    <xf numFmtId="0" fontId="79" fillId="35" borderId="6" xfId="111" applyNumberFormat="1" applyFont="1" applyFill="1" applyBorder="1" applyAlignment="1">
      <alignment horizontal="center" vertical="center" wrapText="1"/>
    </xf>
    <xf numFmtId="0" fontId="82" fillId="26" borderId="75" xfId="0" applyFont="1" applyFill="1" applyBorder="1" applyAlignment="1">
      <alignment horizontal="center" vertical="center"/>
    </xf>
    <xf numFmtId="0" fontId="82" fillId="26" borderId="4" xfId="0" applyFont="1" applyFill="1" applyBorder="1" applyAlignment="1">
      <alignment horizontal="center" vertical="center"/>
    </xf>
    <xf numFmtId="0" fontId="82" fillId="26" borderId="76" xfId="0" applyFont="1" applyFill="1" applyBorder="1" applyAlignment="1">
      <alignment horizontal="center" vertical="center"/>
    </xf>
    <xf numFmtId="0" fontId="42" fillId="0" borderId="0" xfId="111" applyNumberFormat="1" applyFont="1" applyAlignment="1">
      <alignment horizontal="center" vertical="center"/>
    </xf>
    <xf numFmtId="41" fontId="39" fillId="0" borderId="0" xfId="111" applyFont="1" applyBorder="1" applyAlignment="1">
      <alignment horizontal="right" vertical="center" shrinkToFit="1"/>
    </xf>
    <xf numFmtId="0" fontId="79" fillId="30" borderId="6" xfId="111" applyNumberFormat="1" applyFont="1" applyFill="1" applyBorder="1" applyAlignment="1">
      <alignment horizontal="center" vertical="center" wrapText="1"/>
    </xf>
    <xf numFmtId="0" fontId="79" fillId="26" borderId="6" xfId="111" applyNumberFormat="1" applyFont="1" applyFill="1" applyBorder="1" applyAlignment="1">
      <alignment horizontal="center" vertical="center" shrinkToFit="1"/>
    </xf>
    <xf numFmtId="0" fontId="79" fillId="26" borderId="6" xfId="111" applyNumberFormat="1" applyFont="1" applyFill="1" applyBorder="1" applyAlignment="1">
      <alignment horizontal="center" vertical="center" wrapText="1" shrinkToFit="1"/>
    </xf>
    <xf numFmtId="41" fontId="43" fillId="0" borderId="0" xfId="111" applyFont="1" applyBorder="1" applyAlignment="1">
      <alignment horizontal="left" vertical="center"/>
    </xf>
    <xf numFmtId="0" fontId="85" fillId="0" borderId="6" xfId="111" applyNumberFormat="1" applyFont="1" applyFill="1" applyBorder="1" applyAlignment="1">
      <alignment horizontal="center" vertical="center" wrapText="1"/>
    </xf>
    <xf numFmtId="0" fontId="82" fillId="26" borderId="6" xfId="0" applyFont="1" applyFill="1" applyBorder="1" applyAlignment="1">
      <alignment horizontal="center" vertical="center"/>
    </xf>
    <xf numFmtId="0" fontId="50" fillId="26" borderId="26" xfId="0" applyFont="1" applyFill="1" applyBorder="1" applyAlignment="1">
      <alignment horizontal="center" vertical="center" wrapText="1"/>
    </xf>
    <xf numFmtId="0" fontId="50" fillId="26" borderId="27" xfId="0" applyFont="1" applyFill="1" applyBorder="1" applyAlignment="1">
      <alignment horizontal="center" vertical="center" wrapText="1"/>
    </xf>
    <xf numFmtId="0" fontId="50" fillId="26" borderId="28" xfId="0" applyFont="1" applyFill="1" applyBorder="1" applyAlignment="1">
      <alignment horizontal="center" vertical="center" wrapText="1"/>
    </xf>
    <xf numFmtId="0" fontId="50" fillId="35" borderId="33" xfId="0" applyFont="1" applyFill="1" applyBorder="1" applyAlignment="1">
      <alignment horizontal="center" vertical="center" wrapText="1"/>
    </xf>
    <xf numFmtId="0" fontId="50" fillId="35" borderId="29" xfId="0" applyFont="1" applyFill="1" applyBorder="1" applyAlignment="1">
      <alignment horizontal="center" vertical="center" wrapText="1"/>
    </xf>
    <xf numFmtId="0" fontId="50" fillId="29" borderId="33" xfId="0" applyFont="1" applyFill="1" applyBorder="1" applyAlignment="1">
      <alignment horizontal="center" vertical="center" wrapText="1"/>
    </xf>
    <xf numFmtId="0" fontId="50" fillId="29" borderId="29" xfId="0" applyFont="1" applyFill="1" applyBorder="1" applyAlignment="1">
      <alignment horizontal="center" vertical="center" wrapText="1"/>
    </xf>
    <xf numFmtId="41" fontId="47" fillId="0" borderId="0" xfId="493" applyFont="1" applyAlignment="1" applyProtection="1">
      <alignment horizontal="center" vertical="center"/>
      <protection locked="0"/>
    </xf>
    <xf numFmtId="0" fontId="50" fillId="29" borderId="30" xfId="0" applyFont="1" applyFill="1" applyBorder="1" applyAlignment="1">
      <alignment horizontal="center" vertical="center" wrapText="1"/>
    </xf>
    <xf numFmtId="0" fontId="52" fillId="32" borderId="33" xfId="0" applyFont="1" applyFill="1" applyBorder="1" applyAlignment="1">
      <alignment horizontal="center" vertical="center" wrapText="1"/>
    </xf>
    <xf numFmtId="0" fontId="52" fillId="32" borderId="30" xfId="0" applyFont="1" applyFill="1" applyBorder="1" applyAlignment="1">
      <alignment horizontal="center" vertical="center" wrapText="1"/>
    </xf>
    <xf numFmtId="0" fontId="52" fillId="32" borderId="29" xfId="0" applyFont="1" applyFill="1" applyBorder="1" applyAlignment="1">
      <alignment horizontal="center" vertical="center" wrapText="1"/>
    </xf>
    <xf numFmtId="0" fontId="38" fillId="33" borderId="19" xfId="111" applyNumberFormat="1" applyFont="1" applyFill="1" applyBorder="1" applyAlignment="1">
      <alignment horizontal="center" vertical="center" shrinkToFit="1"/>
    </xf>
    <xf numFmtId="0" fontId="38" fillId="33" borderId="21" xfId="111" applyNumberFormat="1" applyFont="1" applyFill="1" applyBorder="1" applyAlignment="1">
      <alignment horizontal="center" vertical="center" shrinkToFit="1"/>
    </xf>
    <xf numFmtId="0" fontId="41" fillId="26" borderId="19" xfId="0" applyFont="1" applyFill="1" applyBorder="1" applyAlignment="1">
      <alignment horizontal="center" vertical="center"/>
    </xf>
    <xf numFmtId="0" fontId="41" fillId="26" borderId="20" xfId="0" applyFont="1" applyFill="1" applyBorder="1" applyAlignment="1">
      <alignment horizontal="center" vertical="center"/>
    </xf>
    <xf numFmtId="0" fontId="41" fillId="26" borderId="21" xfId="0" applyFont="1" applyFill="1" applyBorder="1" applyAlignment="1">
      <alignment horizontal="center" vertical="center"/>
    </xf>
    <xf numFmtId="41" fontId="46" fillId="27" borderId="19" xfId="261" applyFont="1" applyFill="1" applyBorder="1" applyAlignment="1">
      <alignment horizontal="left" vertical="center" shrinkToFit="1"/>
    </xf>
    <xf numFmtId="41" fontId="46" fillId="27" borderId="20" xfId="261" applyFont="1" applyFill="1" applyBorder="1" applyAlignment="1">
      <alignment horizontal="left" vertical="center" shrinkToFit="1"/>
    </xf>
    <xf numFmtId="41" fontId="46" fillId="27" borderId="21" xfId="261" applyFont="1" applyFill="1" applyBorder="1" applyAlignment="1">
      <alignment horizontal="left" vertical="center" shrinkToFit="1"/>
    </xf>
    <xf numFmtId="41" fontId="43" fillId="0" borderId="88" xfId="111" applyFont="1" applyBorder="1" applyAlignment="1">
      <alignment horizontal="left" vertical="center"/>
    </xf>
    <xf numFmtId="41" fontId="39" fillId="0" borderId="88" xfId="111" applyFont="1" applyBorder="1" applyAlignment="1">
      <alignment horizontal="right" vertical="center" shrinkToFit="1"/>
    </xf>
    <xf numFmtId="0" fontId="38" fillId="26" borderId="16" xfId="111" applyNumberFormat="1" applyFont="1" applyFill="1" applyBorder="1" applyAlignment="1">
      <alignment horizontal="center" vertical="center" wrapText="1"/>
    </xf>
    <xf numFmtId="0" fontId="38" fillId="26" borderId="18" xfId="111" applyNumberFormat="1" applyFont="1" applyFill="1" applyBorder="1" applyAlignment="1">
      <alignment horizontal="center" vertical="center" wrapText="1"/>
    </xf>
    <xf numFmtId="0" fontId="38" fillId="26" borderId="17" xfId="111" applyNumberFormat="1" applyFont="1" applyFill="1" applyBorder="1" applyAlignment="1">
      <alignment horizontal="center" vertical="center" wrapText="1"/>
    </xf>
    <xf numFmtId="0" fontId="38" fillId="33" borderId="19" xfId="111" applyNumberFormat="1" applyFont="1" applyFill="1" applyBorder="1" applyAlignment="1">
      <alignment horizontal="center" vertical="center" wrapText="1"/>
    </xf>
    <xf numFmtId="0" fontId="38" fillId="33" borderId="20" xfId="111" applyNumberFormat="1" applyFont="1" applyFill="1" applyBorder="1" applyAlignment="1">
      <alignment horizontal="center" vertical="center" wrapText="1"/>
    </xf>
    <xf numFmtId="0" fontId="38" fillId="33" borderId="21" xfId="111" applyNumberFormat="1" applyFont="1" applyFill="1" applyBorder="1" applyAlignment="1">
      <alignment horizontal="center" vertical="center" wrapText="1"/>
    </xf>
    <xf numFmtId="41" fontId="46" fillId="27" borderId="22" xfId="261" applyFont="1" applyFill="1" applyBorder="1" applyAlignment="1">
      <alignment horizontal="left" vertical="center" shrinkToFit="1"/>
    </xf>
    <xf numFmtId="41" fontId="46" fillId="27" borderId="23" xfId="261" applyFont="1" applyFill="1" applyBorder="1" applyAlignment="1">
      <alignment horizontal="left" vertical="center" shrinkToFit="1"/>
    </xf>
    <xf numFmtId="41" fontId="46" fillId="27" borderId="24" xfId="261" applyFont="1" applyFill="1" applyBorder="1" applyAlignment="1">
      <alignment horizontal="left" vertical="center" shrinkToFit="1"/>
    </xf>
    <xf numFmtId="0" fontId="38" fillId="26" borderId="14" xfId="111" applyNumberFormat="1" applyFont="1" applyFill="1" applyBorder="1" applyAlignment="1">
      <alignment horizontal="center" vertical="center" wrapText="1"/>
    </xf>
    <xf numFmtId="0" fontId="38" fillId="33" borderId="14" xfId="111" applyNumberFormat="1" applyFont="1" applyFill="1" applyBorder="1" applyAlignment="1">
      <alignment horizontal="center" vertical="center" wrapText="1"/>
    </xf>
    <xf numFmtId="0" fontId="41" fillId="26" borderId="19" xfId="0" applyNumberFormat="1" applyFont="1" applyFill="1" applyBorder="1" applyAlignment="1">
      <alignment horizontal="center" vertical="center"/>
    </xf>
    <xf numFmtId="0" fontId="41" fillId="26" borderId="20" xfId="0" applyNumberFormat="1" applyFont="1" applyFill="1" applyBorder="1" applyAlignment="1">
      <alignment horizontal="center" vertical="center"/>
    </xf>
    <xf numFmtId="0" fontId="41" fillId="26" borderId="21" xfId="0" applyNumberFormat="1" applyFont="1" applyFill="1" applyBorder="1" applyAlignment="1">
      <alignment horizontal="center" vertical="center"/>
    </xf>
    <xf numFmtId="0" fontId="52" fillId="28" borderId="33" xfId="0" applyFont="1" applyFill="1" applyBorder="1" applyAlignment="1">
      <alignment horizontal="left" vertical="center" wrapText="1"/>
    </xf>
    <xf numFmtId="0" fontId="52" fillId="28" borderId="30" xfId="0" applyFont="1" applyFill="1" applyBorder="1" applyAlignment="1">
      <alignment horizontal="left" vertical="center" wrapText="1"/>
    </xf>
    <xf numFmtId="0" fontId="52" fillId="28" borderId="29" xfId="0" applyFont="1" applyFill="1" applyBorder="1" applyAlignment="1">
      <alignment horizontal="left" vertical="center" wrapText="1"/>
    </xf>
    <xf numFmtId="0" fontId="54" fillId="34" borderId="33" xfId="0" applyFont="1" applyFill="1" applyBorder="1" applyAlignment="1">
      <alignment horizontal="center" vertical="center" wrapText="1"/>
    </xf>
    <xf numFmtId="0" fontId="54" fillId="34" borderId="30" xfId="0" applyFont="1" applyFill="1" applyBorder="1" applyAlignment="1">
      <alignment horizontal="center" vertical="center" wrapText="1"/>
    </xf>
    <xf numFmtId="0" fontId="54" fillId="34" borderId="29" xfId="0" applyFont="1" applyFill="1" applyBorder="1" applyAlignment="1">
      <alignment horizontal="center" vertical="center" wrapText="1"/>
    </xf>
    <xf numFmtId="0" fontId="50" fillId="0" borderId="33" xfId="0" applyFont="1" applyFill="1" applyBorder="1" applyAlignment="1">
      <alignment horizontal="center" vertical="center" wrapText="1"/>
    </xf>
    <xf numFmtId="0" fontId="50" fillId="0" borderId="30" xfId="0" applyFont="1" applyFill="1" applyBorder="1" applyAlignment="1">
      <alignment horizontal="center" vertical="center" wrapText="1"/>
    </xf>
    <xf numFmtId="0" fontId="50" fillId="0" borderId="29" xfId="0" applyFont="1" applyFill="1" applyBorder="1" applyAlignment="1">
      <alignment horizontal="center" vertical="center" wrapText="1"/>
    </xf>
    <xf numFmtId="0" fontId="52" fillId="31" borderId="26" xfId="0" applyFont="1" applyFill="1" applyBorder="1" applyAlignment="1">
      <alignment horizontal="center" vertical="center" wrapText="1"/>
    </xf>
    <xf numFmtId="0" fontId="52" fillId="31" borderId="27" xfId="0" applyFont="1" applyFill="1" applyBorder="1" applyAlignment="1">
      <alignment horizontal="center" vertical="center" wrapText="1"/>
    </xf>
    <xf numFmtId="0" fontId="52" fillId="31" borderId="28" xfId="0" applyFont="1" applyFill="1" applyBorder="1" applyAlignment="1">
      <alignment horizontal="center" vertical="center" wrapText="1"/>
    </xf>
    <xf numFmtId="0" fontId="52" fillId="31" borderId="33" xfId="0" applyFont="1" applyFill="1" applyBorder="1" applyAlignment="1">
      <alignment horizontal="center" vertical="center" wrapText="1"/>
    </xf>
    <xf numFmtId="0" fontId="52" fillId="31" borderId="30" xfId="0" applyFont="1" applyFill="1" applyBorder="1" applyAlignment="1">
      <alignment horizontal="center" vertical="center" wrapText="1"/>
    </xf>
    <xf numFmtId="0" fontId="52" fillId="31" borderId="29" xfId="0" applyFont="1" applyFill="1" applyBorder="1" applyAlignment="1">
      <alignment horizontal="center" vertical="center" wrapText="1"/>
    </xf>
    <xf numFmtId="41" fontId="52" fillId="0" borderId="33" xfId="0" applyNumberFormat="1" applyFont="1" applyFill="1" applyBorder="1" applyAlignment="1">
      <alignment horizontal="center" vertical="center" wrapText="1"/>
    </xf>
    <xf numFmtId="41" fontId="52" fillId="0" borderId="29" xfId="0" applyNumberFormat="1" applyFont="1" applyFill="1" applyBorder="1" applyAlignment="1">
      <alignment horizontal="center" vertical="center" wrapText="1"/>
    </xf>
    <xf numFmtId="0" fontId="51" fillId="0" borderId="33" xfId="0" applyFont="1" applyFill="1" applyBorder="1" applyAlignment="1">
      <alignment horizontal="center" vertical="center" wrapText="1"/>
    </xf>
    <xf numFmtId="0" fontId="51" fillId="0" borderId="30" xfId="0" applyFont="1" applyFill="1" applyBorder="1" applyAlignment="1">
      <alignment horizontal="center" vertical="center" wrapText="1"/>
    </xf>
    <xf numFmtId="41" fontId="51" fillId="0" borderId="33" xfId="0" applyNumberFormat="1" applyFont="1" applyFill="1" applyBorder="1" applyAlignment="1">
      <alignment horizontal="center" vertical="center" wrapText="1"/>
    </xf>
    <xf numFmtId="41" fontId="51" fillId="0" borderId="29" xfId="0" applyNumberFormat="1" applyFont="1" applyFill="1" applyBorder="1" applyAlignment="1">
      <alignment horizontal="center" vertical="center" wrapText="1"/>
    </xf>
    <xf numFmtId="41" fontId="51" fillId="0" borderId="30" xfId="0" applyNumberFormat="1" applyFont="1" applyFill="1" applyBorder="1" applyAlignment="1">
      <alignment horizontal="center" vertical="center" wrapText="1"/>
    </xf>
    <xf numFmtId="0" fontId="51" fillId="31" borderId="33" xfId="0" applyFont="1" applyFill="1" applyBorder="1" applyAlignment="1">
      <alignment horizontal="center" vertical="center" wrapText="1"/>
    </xf>
    <xf numFmtId="0" fontId="51" fillId="31" borderId="30" xfId="0" applyFont="1" applyFill="1" applyBorder="1" applyAlignment="1">
      <alignment horizontal="center" vertical="center" wrapText="1"/>
    </xf>
    <xf numFmtId="0" fontId="51" fillId="31" borderId="29" xfId="0" applyFont="1" applyFill="1" applyBorder="1" applyAlignment="1">
      <alignment horizontal="center" vertical="center" wrapText="1"/>
    </xf>
    <xf numFmtId="41" fontId="51" fillId="31" borderId="33" xfId="0" applyNumberFormat="1" applyFont="1" applyFill="1" applyBorder="1" applyAlignment="1">
      <alignment horizontal="center" vertical="center" wrapText="1"/>
    </xf>
    <xf numFmtId="41" fontId="51" fillId="31" borderId="29" xfId="0" applyNumberFormat="1" applyFont="1" applyFill="1" applyBorder="1" applyAlignment="1">
      <alignment horizontal="center" vertical="center" wrapText="1"/>
    </xf>
    <xf numFmtId="0" fontId="52" fillId="31" borderId="25" xfId="0" applyFont="1" applyFill="1" applyBorder="1" applyAlignment="1">
      <alignment horizontal="center" vertical="center" wrapText="1"/>
    </xf>
    <xf numFmtId="49" fontId="52" fillId="31" borderId="33" xfId="0" applyNumberFormat="1" applyFont="1" applyFill="1" applyBorder="1" applyAlignment="1">
      <alignment horizontal="center" vertical="center" wrapText="1"/>
    </xf>
    <xf numFmtId="49" fontId="52" fillId="31" borderId="30" xfId="0" applyNumberFormat="1" applyFont="1" applyFill="1" applyBorder="1" applyAlignment="1">
      <alignment horizontal="center" vertical="center" wrapText="1"/>
    </xf>
    <xf numFmtId="49" fontId="52" fillId="31" borderId="29" xfId="0" applyNumberFormat="1" applyFont="1" applyFill="1" applyBorder="1" applyAlignment="1">
      <alignment horizontal="center" vertical="center" wrapText="1"/>
    </xf>
    <xf numFmtId="0" fontId="52" fillId="31" borderId="34" xfId="0" applyFont="1" applyFill="1" applyBorder="1" applyAlignment="1">
      <alignment horizontal="center" vertical="center" wrapText="1"/>
    </xf>
    <xf numFmtId="0" fontId="52" fillId="31" borderId="35" xfId="0" applyFont="1" applyFill="1" applyBorder="1" applyAlignment="1">
      <alignment horizontal="center" vertical="center" wrapText="1"/>
    </xf>
    <xf numFmtId="0" fontId="52" fillId="31" borderId="36" xfId="0" applyFont="1" applyFill="1" applyBorder="1" applyAlignment="1">
      <alignment horizontal="center" vertical="center" wrapText="1"/>
    </xf>
    <xf numFmtId="0" fontId="54" fillId="35" borderId="79" xfId="0" applyFont="1" applyFill="1" applyBorder="1" applyAlignment="1">
      <alignment horizontal="center" vertical="center" wrapText="1"/>
    </xf>
    <xf numFmtId="0" fontId="52" fillId="28" borderId="72" xfId="0" applyFont="1" applyFill="1" applyBorder="1" applyAlignment="1">
      <alignment horizontal="left" vertical="center" wrapText="1"/>
    </xf>
    <xf numFmtId="0" fontId="52" fillId="28" borderId="73" xfId="0" applyFont="1" applyFill="1" applyBorder="1" applyAlignment="1">
      <alignment horizontal="left" vertical="center" wrapText="1"/>
    </xf>
    <xf numFmtId="0" fontId="52" fillId="28" borderId="74" xfId="0" applyFont="1" applyFill="1" applyBorder="1" applyAlignment="1">
      <alignment horizontal="left" vertical="center" wrapText="1"/>
    </xf>
    <xf numFmtId="0" fontId="50" fillId="35" borderId="6" xfId="0" applyFont="1" applyFill="1" applyBorder="1" applyAlignment="1">
      <alignment horizontal="center" vertical="center" wrapText="1"/>
    </xf>
    <xf numFmtId="0" fontId="41" fillId="0" borderId="0" xfId="0" applyFont="1" applyFill="1" applyBorder="1" applyAlignment="1">
      <alignment horizontal="left" vertical="center" wrapText="1"/>
    </xf>
    <xf numFmtId="0" fontId="50" fillId="35" borderId="79" xfId="0" applyFont="1" applyFill="1" applyBorder="1" applyAlignment="1">
      <alignment horizontal="center" vertical="center" wrapText="1"/>
    </xf>
    <xf numFmtId="0" fontId="50" fillId="32" borderId="6" xfId="0" applyFont="1" applyFill="1" applyBorder="1" applyAlignment="1">
      <alignment horizontal="center" vertical="center" wrapText="1"/>
    </xf>
    <xf numFmtId="0" fontId="50" fillId="32" borderId="75" xfId="0" applyFont="1" applyFill="1" applyBorder="1" applyAlignment="1">
      <alignment horizontal="center" vertical="center" wrapText="1"/>
    </xf>
    <xf numFmtId="0" fontId="52" fillId="28" borderId="80" xfId="0" applyFont="1" applyFill="1" applyBorder="1" applyAlignment="1">
      <alignment horizontal="center" vertical="center" wrapText="1"/>
    </xf>
    <xf numFmtId="0" fontId="52" fillId="28" borderId="93" xfId="0" applyFont="1" applyFill="1" applyBorder="1" applyAlignment="1">
      <alignment horizontal="center" vertical="center" wrapText="1"/>
    </xf>
    <xf numFmtId="0" fontId="52" fillId="28" borderId="72" xfId="0" applyFont="1" applyFill="1" applyBorder="1" applyAlignment="1">
      <alignment horizontal="center" vertical="center" wrapText="1"/>
    </xf>
    <xf numFmtId="0" fontId="52" fillId="28" borderId="73" xfId="0" applyFont="1" applyFill="1" applyBorder="1" applyAlignment="1">
      <alignment horizontal="center" vertical="center" wrapText="1"/>
    </xf>
    <xf numFmtId="0" fontId="52" fillId="28" borderId="74" xfId="0" applyFont="1" applyFill="1" applyBorder="1" applyAlignment="1">
      <alignment horizontal="center" vertical="center" wrapText="1"/>
    </xf>
    <xf numFmtId="0" fontId="50" fillId="32" borderId="6" xfId="0" applyFont="1" applyFill="1" applyBorder="1" applyAlignment="1">
      <alignment horizontal="center" vertical="center"/>
    </xf>
    <xf numFmtId="0" fontId="50" fillId="32" borderId="80" xfId="0" applyFont="1" applyFill="1" applyBorder="1" applyAlignment="1">
      <alignment horizontal="center" vertical="center"/>
    </xf>
    <xf numFmtId="41" fontId="52" fillId="0" borderId="72" xfId="0" applyNumberFormat="1" applyFont="1" applyFill="1" applyBorder="1" applyAlignment="1">
      <alignment horizontal="center" vertical="center" wrapText="1"/>
    </xf>
    <xf numFmtId="41" fontId="52" fillId="0" borderId="74" xfId="0" applyNumberFormat="1" applyFont="1" applyFill="1" applyBorder="1" applyAlignment="1">
      <alignment horizontal="center" vertical="center" wrapText="1"/>
    </xf>
    <xf numFmtId="0" fontId="87" fillId="32" borderId="6" xfId="0" applyFont="1" applyFill="1" applyBorder="1" applyAlignment="1">
      <alignment horizontal="center" vertical="center" wrapText="1"/>
    </xf>
    <xf numFmtId="41" fontId="52" fillId="0" borderId="97" xfId="0" applyNumberFormat="1" applyFont="1" applyFill="1" applyBorder="1" applyAlignment="1">
      <alignment horizontal="center" vertical="center" wrapText="1"/>
    </xf>
    <xf numFmtId="41" fontId="52" fillId="0" borderId="98" xfId="0" applyNumberFormat="1" applyFont="1" applyFill="1" applyBorder="1" applyAlignment="1">
      <alignment horizontal="center" vertical="center" wrapText="1"/>
    </xf>
    <xf numFmtId="41" fontId="52" fillId="0" borderId="70" xfId="0" applyNumberFormat="1" applyFont="1" applyFill="1" applyBorder="1" applyAlignment="1">
      <alignment horizontal="center" vertical="center" wrapText="1"/>
    </xf>
    <xf numFmtId="41" fontId="52" fillId="0" borderId="71" xfId="0" applyNumberFormat="1" applyFont="1" applyFill="1" applyBorder="1" applyAlignment="1">
      <alignment horizontal="center" vertical="center" wrapText="1"/>
    </xf>
    <xf numFmtId="41" fontId="62" fillId="36" borderId="75" xfId="1027" applyFont="1" applyFill="1" applyBorder="1" applyAlignment="1">
      <alignment horizontal="right" vertical="center"/>
    </xf>
    <xf numFmtId="41" fontId="62" fillId="36" borderId="76" xfId="1027" applyFont="1" applyFill="1" applyBorder="1" applyAlignment="1">
      <alignment horizontal="right" vertical="center"/>
    </xf>
    <xf numFmtId="0" fontId="57" fillId="35" borderId="6" xfId="0" applyFont="1" applyFill="1" applyBorder="1" applyAlignment="1">
      <alignment horizontal="center" vertical="center"/>
    </xf>
    <xf numFmtId="41" fontId="52" fillId="32" borderId="6" xfId="0" applyNumberFormat="1" applyFont="1" applyFill="1" applyBorder="1" applyAlignment="1">
      <alignment horizontal="center" vertical="center" wrapText="1"/>
    </xf>
    <xf numFmtId="0" fontId="89" fillId="32" borderId="0" xfId="0" applyFont="1" applyFill="1" applyBorder="1" applyAlignment="1">
      <alignment horizontal="left" vertical="center" wrapText="1"/>
    </xf>
    <xf numFmtId="0" fontId="97" fillId="33" borderId="0" xfId="0" applyFont="1" applyFill="1" applyAlignment="1">
      <alignment horizontal="left" vertical="center" wrapText="1"/>
    </xf>
    <xf numFmtId="0" fontId="97" fillId="33" borderId="0" xfId="0" applyFont="1" applyFill="1" applyBorder="1" applyAlignment="1">
      <alignment horizontal="left" vertical="center" wrapText="1"/>
    </xf>
    <xf numFmtId="0" fontId="103" fillId="26" borderId="6" xfId="0" applyFont="1" applyFill="1" applyBorder="1" applyAlignment="1">
      <alignment horizontal="center" vertical="center" shrinkToFit="1"/>
    </xf>
    <xf numFmtId="0" fontId="94" fillId="26" borderId="94" xfId="0" applyFont="1" applyFill="1" applyBorder="1" applyAlignment="1">
      <alignment horizontal="center" vertical="center" wrapText="1"/>
    </xf>
    <xf numFmtId="0" fontId="94" fillId="26" borderId="86" xfId="0" applyFont="1" applyFill="1" applyBorder="1" applyAlignment="1">
      <alignment horizontal="center" vertical="center" wrapText="1"/>
    </xf>
    <xf numFmtId="0" fontId="94" fillId="26" borderId="95" xfId="0" applyFont="1" applyFill="1" applyBorder="1" applyAlignment="1">
      <alignment horizontal="center" vertical="center" wrapText="1"/>
    </xf>
    <xf numFmtId="0" fontId="94" fillId="26" borderId="79" xfId="0" applyFont="1" applyFill="1" applyBorder="1" applyAlignment="1">
      <alignment horizontal="center" vertical="center" wrapText="1"/>
    </xf>
    <xf numFmtId="0" fontId="94" fillId="26" borderId="80" xfId="0" applyFont="1" applyFill="1" applyBorder="1" applyAlignment="1">
      <alignment horizontal="center" vertical="center" wrapText="1"/>
    </xf>
    <xf numFmtId="0" fontId="94" fillId="26" borderId="92" xfId="0" applyFont="1" applyFill="1" applyBorder="1" applyAlignment="1">
      <alignment horizontal="center" vertical="center" wrapText="1"/>
    </xf>
    <xf numFmtId="0" fontId="52" fillId="35" borderId="6" xfId="0" applyFont="1" applyFill="1" applyBorder="1" applyAlignment="1">
      <alignment horizontal="center" vertical="center" wrapText="1"/>
    </xf>
    <xf numFmtId="0" fontId="50" fillId="0" borderId="4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wrapText="1"/>
    </xf>
    <xf numFmtId="0" fontId="62" fillId="28" borderId="0" xfId="0" applyFont="1" applyFill="1" applyAlignment="1">
      <alignment horizontal="left" vertical="center" wrapText="1"/>
    </xf>
    <xf numFmtId="0" fontId="89" fillId="0" borderId="0" xfId="0" applyFont="1" applyFill="1" applyBorder="1" applyAlignment="1">
      <alignment horizontal="left" vertical="center" wrapText="1"/>
    </xf>
    <xf numFmtId="41" fontId="52" fillId="0" borderId="73" xfId="0" applyNumberFormat="1" applyFont="1" applyFill="1" applyBorder="1" applyAlignment="1">
      <alignment horizontal="center" vertical="center" wrapText="1"/>
    </xf>
    <xf numFmtId="0" fontId="62" fillId="35" borderId="6" xfId="0" applyFont="1" applyFill="1" applyBorder="1" applyAlignment="1">
      <alignment horizontal="center" vertical="center"/>
    </xf>
    <xf numFmtId="0" fontId="107" fillId="35" borderId="6" xfId="0" applyFont="1" applyFill="1" applyBorder="1" applyAlignment="1">
      <alignment horizontal="center" vertical="center" wrapText="1"/>
    </xf>
    <xf numFmtId="0" fontId="107" fillId="35" borderId="6" xfId="0" applyFont="1" applyFill="1" applyBorder="1" applyAlignment="1">
      <alignment horizontal="center" vertical="center"/>
    </xf>
    <xf numFmtId="41" fontId="0" fillId="32" borderId="4" xfId="0" applyNumberFormat="1" applyFill="1" applyBorder="1" applyAlignment="1">
      <alignment horizontal="center" vertical="center"/>
    </xf>
    <xf numFmtId="41" fontId="0" fillId="32" borderId="76" xfId="0" applyNumberFormat="1" applyFill="1" applyBorder="1" applyAlignment="1">
      <alignment horizontal="center" vertical="center"/>
    </xf>
    <xf numFmtId="0" fontId="87" fillId="0" borderId="0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center" vertical="center" wrapText="1"/>
    </xf>
    <xf numFmtId="0" fontId="64" fillId="0" borderId="0" xfId="0" applyFont="1" applyBorder="1" applyAlignment="1">
      <alignment horizontal="center" vertical="center" wrapText="1"/>
    </xf>
    <xf numFmtId="0" fontId="64" fillId="0" borderId="38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 wrapText="1"/>
    </xf>
    <xf numFmtId="0" fontId="64" fillId="0" borderId="43" xfId="0" applyFont="1" applyBorder="1" applyAlignment="1">
      <alignment horizontal="center" vertical="center" wrapText="1"/>
    </xf>
    <xf numFmtId="0" fontId="64" fillId="0" borderId="39" xfId="0" applyFont="1" applyBorder="1" applyAlignment="1">
      <alignment horizontal="center" vertical="center" wrapText="1"/>
    </xf>
    <xf numFmtId="0" fontId="64" fillId="0" borderId="40" xfId="0" applyFont="1" applyBorder="1" applyAlignment="1">
      <alignment horizontal="center" vertical="center" wrapText="1"/>
    </xf>
    <xf numFmtId="0" fontId="64" fillId="0" borderId="41" xfId="0" applyFont="1" applyBorder="1" applyAlignment="1">
      <alignment horizontal="center" vertical="center" wrapText="1"/>
    </xf>
    <xf numFmtId="0" fontId="64" fillId="0" borderId="59" xfId="0" applyFont="1" applyBorder="1" applyAlignment="1">
      <alignment horizontal="center" vertical="center" wrapText="1"/>
    </xf>
    <xf numFmtId="0" fontId="64" fillId="0" borderId="61" xfId="0" applyFont="1" applyBorder="1" applyAlignment="1">
      <alignment horizontal="center" vertical="center" wrapText="1"/>
    </xf>
    <xf numFmtId="0" fontId="64" fillId="0" borderId="46" xfId="0" applyFont="1" applyBorder="1" applyAlignment="1">
      <alignment horizontal="center" vertical="center" wrapText="1"/>
    </xf>
    <xf numFmtId="0" fontId="64" fillId="0" borderId="47" xfId="0" applyFont="1" applyBorder="1" applyAlignment="1">
      <alignment horizontal="center" vertical="center" wrapText="1"/>
    </xf>
    <xf numFmtId="0" fontId="65" fillId="0" borderId="62" xfId="0" applyFont="1" applyBorder="1" applyAlignment="1">
      <alignment horizontal="center" vertical="center" wrapText="1"/>
    </xf>
    <xf numFmtId="0" fontId="65" fillId="0" borderId="58" xfId="0" applyFont="1" applyBorder="1" applyAlignment="1">
      <alignment horizontal="center" vertical="center" wrapText="1"/>
    </xf>
    <xf numFmtId="0" fontId="65" fillId="0" borderId="64" xfId="0" applyFont="1" applyBorder="1" applyAlignment="1">
      <alignment horizontal="center" vertical="center" wrapText="1"/>
    </xf>
    <xf numFmtId="0" fontId="65" fillId="0" borderId="50" xfId="0" applyFont="1" applyBorder="1" applyAlignment="1">
      <alignment horizontal="center" vertical="center" wrapText="1"/>
    </xf>
    <xf numFmtId="0" fontId="65" fillId="0" borderId="40" xfId="0" applyFont="1" applyBorder="1" applyAlignment="1">
      <alignment horizontal="center" vertical="center" wrapText="1"/>
    </xf>
    <xf numFmtId="0" fontId="65" fillId="0" borderId="51" xfId="0" applyFont="1" applyBorder="1" applyAlignment="1">
      <alignment horizontal="center" vertical="center" wrapText="1"/>
    </xf>
    <xf numFmtId="0" fontId="51" fillId="0" borderId="50" xfId="0" applyFont="1" applyBorder="1" applyAlignment="1">
      <alignment vertical="center" wrapText="1"/>
    </xf>
    <xf numFmtId="0" fontId="51" fillId="0" borderId="40" xfId="0" applyFont="1" applyBorder="1" applyAlignment="1">
      <alignment vertical="center" wrapText="1"/>
    </xf>
    <xf numFmtId="0" fontId="51" fillId="0" borderId="51" xfId="0" applyFont="1" applyBorder="1" applyAlignment="1">
      <alignment vertical="center" wrapText="1"/>
    </xf>
    <xf numFmtId="0" fontId="66" fillId="0" borderId="52" xfId="0" applyFont="1" applyBorder="1" applyAlignment="1">
      <alignment horizontal="center" vertical="center" wrapText="1"/>
    </xf>
    <xf numFmtId="0" fontId="66" fillId="0" borderId="48" xfId="0" applyFont="1" applyBorder="1" applyAlignment="1">
      <alignment horizontal="center" vertical="center" wrapText="1"/>
    </xf>
    <xf numFmtId="0" fontId="66" fillId="0" borderId="42" xfId="0" applyFont="1" applyBorder="1" applyAlignment="1">
      <alignment horizontal="center" vertical="center" wrapText="1"/>
    </xf>
    <xf numFmtId="0" fontId="66" fillId="0" borderId="39" xfId="0" applyFont="1" applyBorder="1" applyAlignment="1">
      <alignment horizontal="center" vertical="center" wrapText="1"/>
    </xf>
    <xf numFmtId="0" fontId="64" fillId="0" borderId="58" xfId="0" applyFont="1" applyBorder="1" applyAlignment="1">
      <alignment horizontal="center" vertical="center" wrapText="1"/>
    </xf>
    <xf numFmtId="0" fontId="64" fillId="0" borderId="60" xfId="0" applyFont="1" applyBorder="1" applyAlignment="1">
      <alignment horizontal="center" vertical="center" wrapText="1"/>
    </xf>
    <xf numFmtId="0" fontId="51" fillId="0" borderId="5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0" fontId="51" fillId="0" borderId="63" xfId="0" applyFont="1" applyBorder="1" applyAlignment="1">
      <alignment horizontal="center" vertical="center" wrapText="1"/>
    </xf>
    <xf numFmtId="0" fontId="51" fillId="0" borderId="59" xfId="0" applyFont="1" applyBorder="1" applyAlignment="1">
      <alignment horizontal="center" vertical="center" wrapText="1"/>
    </xf>
    <xf numFmtId="0" fontId="51" fillId="0" borderId="65" xfId="0" applyFont="1" applyBorder="1" applyAlignment="1">
      <alignment horizontal="center" vertical="center" wrapText="1"/>
    </xf>
    <xf numFmtId="0" fontId="51" fillId="0" borderId="67" xfId="0" applyFont="1" applyBorder="1" applyAlignment="1">
      <alignment horizontal="center" vertical="center" wrapText="1"/>
    </xf>
    <xf numFmtId="0" fontId="51" fillId="0" borderId="69" xfId="0" applyFont="1" applyBorder="1" applyAlignment="1">
      <alignment horizontal="center" vertical="center" wrapText="1"/>
    </xf>
    <xf numFmtId="0" fontId="67" fillId="0" borderId="53" xfId="0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/>
    </xf>
    <xf numFmtId="0" fontId="67" fillId="0" borderId="55" xfId="0" applyFont="1" applyBorder="1" applyAlignment="1">
      <alignment horizontal="center" vertical="center"/>
    </xf>
    <xf numFmtId="0" fontId="67" fillId="0" borderId="56" xfId="0" applyFont="1" applyBorder="1" applyAlignment="1">
      <alignment horizontal="center" vertical="center"/>
    </xf>
    <xf numFmtId="0" fontId="67" fillId="0" borderId="6" xfId="0" applyFont="1" applyBorder="1" applyAlignment="1">
      <alignment horizontal="center" vertical="center"/>
    </xf>
    <xf numFmtId="0" fontId="67" fillId="0" borderId="57" xfId="0" applyFont="1" applyBorder="1" applyAlignment="1">
      <alignment horizontal="center" vertical="center"/>
    </xf>
    <xf numFmtId="0" fontId="65" fillId="0" borderId="66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 wrapText="1"/>
    </xf>
    <xf numFmtId="0" fontId="51" fillId="0" borderId="67" xfId="0" applyFont="1" applyBorder="1" applyAlignment="1">
      <alignment vertical="center" wrapText="1"/>
    </xf>
    <xf numFmtId="0" fontId="38" fillId="27" borderId="19" xfId="111" applyNumberFormat="1" applyFont="1" applyFill="1" applyBorder="1" applyAlignment="1">
      <alignment horizontal="center" vertical="center" wrapText="1"/>
    </xf>
    <xf numFmtId="0" fontId="38" fillId="27" borderId="20" xfId="111" applyNumberFormat="1" applyFont="1" applyFill="1" applyBorder="1" applyAlignment="1">
      <alignment horizontal="center" vertical="center" wrapText="1"/>
    </xf>
    <xf numFmtId="0" fontId="38" fillId="27" borderId="21" xfId="111" applyNumberFormat="1" applyFont="1" applyFill="1" applyBorder="1" applyAlignment="1">
      <alignment horizontal="center" vertical="center" wrapText="1"/>
    </xf>
    <xf numFmtId="0" fontId="38" fillId="27" borderId="19" xfId="111" applyNumberFormat="1" applyFont="1" applyFill="1" applyBorder="1" applyAlignment="1">
      <alignment horizontal="center" vertical="center" shrinkToFit="1"/>
    </xf>
    <xf numFmtId="0" fontId="38" fillId="27" borderId="21" xfId="111" applyNumberFormat="1" applyFont="1" applyFill="1" applyBorder="1" applyAlignment="1">
      <alignment horizontal="center" vertical="center" shrinkToFit="1"/>
    </xf>
    <xf numFmtId="0" fontId="38" fillId="27" borderId="14" xfId="111" applyNumberFormat="1" applyFont="1" applyFill="1" applyBorder="1" applyAlignment="1">
      <alignment horizontal="center" vertical="center" wrapText="1"/>
    </xf>
    <xf numFmtId="0" fontId="38" fillId="27" borderId="14" xfId="111" applyNumberFormat="1" applyFont="1" applyFill="1" applyBorder="1" applyAlignment="1">
      <alignment horizontal="center" vertical="center" shrinkToFit="1"/>
    </xf>
    <xf numFmtId="0" fontId="41" fillId="26" borderId="14" xfId="0" applyFont="1" applyFill="1" applyBorder="1" applyAlignment="1">
      <alignment horizontal="center" vertical="center"/>
    </xf>
    <xf numFmtId="41" fontId="39" fillId="0" borderId="32" xfId="111" applyFont="1" applyBorder="1" applyAlignment="1">
      <alignment horizontal="right" vertical="center" shrinkToFit="1"/>
    </xf>
  </cellXfs>
  <cellStyles count="1134">
    <cellStyle name="_Book1" xfId="1"/>
    <cellStyle name="_Book1_1" xfId="2"/>
    <cellStyle name="¤@?e_TEST-1 " xfId="3"/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강조색1 10" xfId="451"/>
    <cellStyle name="20% - 강조색1 11" xfId="454"/>
    <cellStyle name="20% - 강조색1 12" xfId="565"/>
    <cellStyle name="20% - 강조색1 13" xfId="609"/>
    <cellStyle name="20% - 강조색1 14" xfId="654"/>
    <cellStyle name="20% - 강조색1 15" xfId="699"/>
    <cellStyle name="20% - 강조색1 16" xfId="744"/>
    <cellStyle name="20% - 강조색1 17" xfId="789"/>
    <cellStyle name="20% - 강조색1 18" xfId="831"/>
    <cellStyle name="20% - 강조색1 19" xfId="870"/>
    <cellStyle name="20% - 강조색1 2" xfId="10"/>
    <cellStyle name="20% - 강조색1 20" xfId="909"/>
    <cellStyle name="20% - 강조색1 21" xfId="948"/>
    <cellStyle name="20% - 강조색1 22" xfId="981"/>
    <cellStyle name="20% - 강조색1 3" xfId="135"/>
    <cellStyle name="20% - 강조색1 4" xfId="221"/>
    <cellStyle name="20% - 강조색1 5" xfId="246"/>
    <cellStyle name="20% - 강조색1 6" xfId="206"/>
    <cellStyle name="20% - 강조색1 7" xfId="332"/>
    <cellStyle name="20% - 강조색1 8" xfId="373"/>
    <cellStyle name="20% - 강조색1 9" xfId="415"/>
    <cellStyle name="20% - 강조색2 10" xfId="450"/>
    <cellStyle name="20% - 강조색2 11" xfId="455"/>
    <cellStyle name="20% - 강조색2 12" xfId="564"/>
    <cellStyle name="20% - 강조색2 13" xfId="608"/>
    <cellStyle name="20% - 강조색2 14" xfId="653"/>
    <cellStyle name="20% - 강조색2 15" xfId="698"/>
    <cellStyle name="20% - 강조색2 16" xfId="743"/>
    <cellStyle name="20% - 강조색2 17" xfId="788"/>
    <cellStyle name="20% - 강조색2 18" xfId="830"/>
    <cellStyle name="20% - 강조색2 19" xfId="869"/>
    <cellStyle name="20% - 강조색2 2" xfId="11"/>
    <cellStyle name="20% - 강조색2 20" xfId="908"/>
    <cellStyle name="20% - 강조색2 21" xfId="947"/>
    <cellStyle name="20% - 강조색2 22" xfId="980"/>
    <cellStyle name="20% - 강조색2 3" xfId="136"/>
    <cellStyle name="20% - 강조색2 4" xfId="220"/>
    <cellStyle name="20% - 강조색2 5" xfId="130"/>
    <cellStyle name="20% - 강조색2 6" xfId="205"/>
    <cellStyle name="20% - 강조색2 7" xfId="331"/>
    <cellStyle name="20% - 강조색2 8" xfId="372"/>
    <cellStyle name="20% - 강조색2 9" xfId="414"/>
    <cellStyle name="20% - 강조색3 10" xfId="440"/>
    <cellStyle name="20% - 강조색3 11" xfId="457"/>
    <cellStyle name="20% - 강조색3 12" xfId="554"/>
    <cellStyle name="20% - 강조색3 13" xfId="598"/>
    <cellStyle name="20% - 강조색3 14" xfId="643"/>
    <cellStyle name="20% - 강조색3 15" xfId="688"/>
    <cellStyle name="20% - 강조색3 16" xfId="733"/>
    <cellStyle name="20% - 강조색3 17" xfId="778"/>
    <cellStyle name="20% - 강조색3 18" xfId="820"/>
    <cellStyle name="20% - 강조색3 19" xfId="859"/>
    <cellStyle name="20% - 강조색3 2" xfId="12"/>
    <cellStyle name="20% - 강조색3 20" xfId="898"/>
    <cellStyle name="20% - 강조색3 21" xfId="937"/>
    <cellStyle name="20% - 강조색3 22" xfId="970"/>
    <cellStyle name="20% - 강조색3 3" xfId="137"/>
    <cellStyle name="20% - 강조색3 4" xfId="210"/>
    <cellStyle name="20% - 강조색3 5" xfId="131"/>
    <cellStyle name="20% - 강조색3 6" xfId="204"/>
    <cellStyle name="20% - 강조색3 7" xfId="321"/>
    <cellStyle name="20% - 강조색3 8" xfId="362"/>
    <cellStyle name="20% - 강조색3 9" xfId="404"/>
    <cellStyle name="20% - 강조색4 10" xfId="439"/>
    <cellStyle name="20% - 강조색4 11" xfId="462"/>
    <cellStyle name="20% - 강조색4 12" xfId="553"/>
    <cellStyle name="20% - 강조색4 13" xfId="597"/>
    <cellStyle name="20% - 강조색4 14" xfId="642"/>
    <cellStyle name="20% - 강조색4 15" xfId="687"/>
    <cellStyle name="20% - 강조색4 16" xfId="732"/>
    <cellStyle name="20% - 강조색4 17" xfId="777"/>
    <cellStyle name="20% - 강조색4 18" xfId="819"/>
    <cellStyle name="20% - 강조색4 19" xfId="858"/>
    <cellStyle name="20% - 강조색4 2" xfId="13"/>
    <cellStyle name="20% - 강조색4 20" xfId="897"/>
    <cellStyle name="20% - 강조색4 21" xfId="936"/>
    <cellStyle name="20% - 강조색4 22" xfId="969"/>
    <cellStyle name="20% - 강조색4 3" xfId="138"/>
    <cellStyle name="20% - 강조색4 4" xfId="209"/>
    <cellStyle name="20% - 강조색4 5" xfId="132"/>
    <cellStyle name="20% - 강조색4 6" xfId="203"/>
    <cellStyle name="20% - 강조색4 7" xfId="320"/>
    <cellStyle name="20% - 강조색4 8" xfId="361"/>
    <cellStyle name="20% - 강조색4 9" xfId="403"/>
    <cellStyle name="20% - 강조색5 10" xfId="438"/>
    <cellStyle name="20% - 강조색5 11" xfId="473"/>
    <cellStyle name="20% - 강조색5 12" xfId="552"/>
    <cellStyle name="20% - 강조색5 13" xfId="596"/>
    <cellStyle name="20% - 강조색5 14" xfId="641"/>
    <cellStyle name="20% - 강조색5 15" xfId="686"/>
    <cellStyle name="20% - 강조색5 16" xfId="731"/>
    <cellStyle name="20% - 강조색5 17" xfId="776"/>
    <cellStyle name="20% - 강조색5 18" xfId="818"/>
    <cellStyle name="20% - 강조색5 19" xfId="857"/>
    <cellStyle name="20% - 강조색5 2" xfId="14"/>
    <cellStyle name="20% - 강조색5 20" xfId="896"/>
    <cellStyle name="20% - 강조색5 21" xfId="935"/>
    <cellStyle name="20% - 강조색5 22" xfId="968"/>
    <cellStyle name="20% - 강조색5 3" xfId="139"/>
    <cellStyle name="20% - 강조색5 4" xfId="208"/>
    <cellStyle name="20% - 강조색5 5" xfId="133"/>
    <cellStyle name="20% - 강조색5 6" xfId="202"/>
    <cellStyle name="20% - 강조색5 7" xfId="319"/>
    <cellStyle name="20% - 강조색5 8" xfId="360"/>
    <cellStyle name="20% - 강조색5 9" xfId="402"/>
    <cellStyle name="20% - 강조색6 10" xfId="437"/>
    <cellStyle name="20% - 강조색6 11" xfId="474"/>
    <cellStyle name="20% - 강조색6 12" xfId="551"/>
    <cellStyle name="20% - 강조색6 13" xfId="595"/>
    <cellStyle name="20% - 강조색6 14" xfId="640"/>
    <cellStyle name="20% - 강조색6 15" xfId="685"/>
    <cellStyle name="20% - 강조색6 16" xfId="730"/>
    <cellStyle name="20% - 강조색6 17" xfId="775"/>
    <cellStyle name="20% - 강조색6 18" xfId="817"/>
    <cellStyle name="20% - 강조색6 19" xfId="856"/>
    <cellStyle name="20% - 강조색6 2" xfId="15"/>
    <cellStyle name="20% - 강조색6 20" xfId="895"/>
    <cellStyle name="20% - 강조색6 21" xfId="934"/>
    <cellStyle name="20% - 강조색6 22" xfId="967"/>
    <cellStyle name="20% - 강조색6 3" xfId="140"/>
    <cellStyle name="20% - 강조색6 4" xfId="207"/>
    <cellStyle name="20% - 강조색6 5" xfId="134"/>
    <cellStyle name="20% - 강조색6 6" xfId="201"/>
    <cellStyle name="20% - 강조색6 7" xfId="318"/>
    <cellStyle name="20% - 강조색6 8" xfId="359"/>
    <cellStyle name="20% - 강조색6 9" xfId="401"/>
    <cellStyle name="40% - Accent1" xfId="16"/>
    <cellStyle name="40% - Accent2" xfId="17"/>
    <cellStyle name="40% - Accent3" xfId="18"/>
    <cellStyle name="40% - Accent4" xfId="19"/>
    <cellStyle name="40% - Accent5" xfId="20"/>
    <cellStyle name="40% - Accent6" xfId="21"/>
    <cellStyle name="40% - 강조색1 10" xfId="395"/>
    <cellStyle name="40% - 강조색1 11" xfId="509"/>
    <cellStyle name="40% - 강조색1 12" xfId="544"/>
    <cellStyle name="40% - 강조색1 13" xfId="398"/>
    <cellStyle name="40% - 강조색1 14" xfId="586"/>
    <cellStyle name="40% - 강조색1 15" xfId="631"/>
    <cellStyle name="40% - 강조색1 16" xfId="676"/>
    <cellStyle name="40% - 강조색1 17" xfId="721"/>
    <cellStyle name="40% - 강조색1 18" xfId="766"/>
    <cellStyle name="40% - 강조색1 19" xfId="811"/>
    <cellStyle name="40% - 강조색1 2" xfId="22"/>
    <cellStyle name="40% - 강조색1 20" xfId="853"/>
    <cellStyle name="40% - 강조색1 21" xfId="892"/>
    <cellStyle name="40% - 강조색1 22" xfId="931"/>
    <cellStyle name="40% - 강조색1 3" xfId="145"/>
    <cellStyle name="40% - 강조색1 4" xfId="200"/>
    <cellStyle name="40% - 강조색1 5" xfId="141"/>
    <cellStyle name="40% - 강조색1 6" xfId="182"/>
    <cellStyle name="40% - 강조색1 7" xfId="317"/>
    <cellStyle name="40% - 강조색1 8" xfId="244"/>
    <cellStyle name="40% - 강조색1 9" xfId="354"/>
    <cellStyle name="40% - 강조색2 10" xfId="384"/>
    <cellStyle name="40% - 강조색2 11" xfId="510"/>
    <cellStyle name="40% - 강조색2 12" xfId="543"/>
    <cellStyle name="40% - 강조색2 13" xfId="399"/>
    <cellStyle name="40% - 강조색2 14" xfId="575"/>
    <cellStyle name="40% - 강조색2 15" xfId="620"/>
    <cellStyle name="40% - 강조색2 16" xfId="665"/>
    <cellStyle name="40% - 강조색2 17" xfId="710"/>
    <cellStyle name="40% - 강조색2 18" xfId="755"/>
    <cellStyle name="40% - 강조색2 19" xfId="800"/>
    <cellStyle name="40% - 강조색2 2" xfId="23"/>
    <cellStyle name="40% - 강조색2 20" xfId="842"/>
    <cellStyle name="40% - 강조색2 21" xfId="881"/>
    <cellStyle name="40% - 강조색2 22" xfId="920"/>
    <cellStyle name="40% - 강조색2 3" xfId="146"/>
    <cellStyle name="40% - 강조색2 4" xfId="199"/>
    <cellStyle name="40% - 강조색2 5" xfId="142"/>
    <cellStyle name="40% - 강조색2 6" xfId="181"/>
    <cellStyle name="40% - 강조색2 7" xfId="316"/>
    <cellStyle name="40% - 강조색2 8" xfId="233"/>
    <cellStyle name="40% - 강조색2 9" xfId="343"/>
    <cellStyle name="40% - 강조색3 10" xfId="379"/>
    <cellStyle name="40% - 강조색3 11" xfId="511"/>
    <cellStyle name="40% - 강조색3 12" xfId="542"/>
    <cellStyle name="40% - 강조색3 13" xfId="434"/>
    <cellStyle name="40% - 강조색3 14" xfId="571"/>
    <cellStyle name="40% - 강조색3 15" xfId="615"/>
    <cellStyle name="40% - 강조색3 16" xfId="660"/>
    <cellStyle name="40% - 강조색3 17" xfId="705"/>
    <cellStyle name="40% - 강조색3 18" xfId="750"/>
    <cellStyle name="40% - 강조색3 19" xfId="795"/>
    <cellStyle name="40% - 강조색3 2" xfId="24"/>
    <cellStyle name="40% - 강조색3 20" xfId="837"/>
    <cellStyle name="40% - 강조색3 21" xfId="876"/>
    <cellStyle name="40% - 강조색3 22" xfId="915"/>
    <cellStyle name="40% - 강조색3 3" xfId="147"/>
    <cellStyle name="40% - 강조색3 4" xfId="198"/>
    <cellStyle name="40% - 강조색3 5" xfId="143"/>
    <cellStyle name="40% - 강조색3 6" xfId="180"/>
    <cellStyle name="40% - 강조색3 7" xfId="315"/>
    <cellStyle name="40% - 강조색3 8" xfId="227"/>
    <cellStyle name="40% - 강조색3 9" xfId="338"/>
    <cellStyle name="40% - 강조색4 10" xfId="377"/>
    <cellStyle name="40% - 강조색4 11" xfId="512"/>
    <cellStyle name="40% - 강조색4 12" xfId="541"/>
    <cellStyle name="40% - 강조색4 13" xfId="435"/>
    <cellStyle name="40% - 강조색4 14" xfId="569"/>
    <cellStyle name="40% - 강조색4 15" xfId="613"/>
    <cellStyle name="40% - 강조색4 16" xfId="658"/>
    <cellStyle name="40% - 강조색4 17" xfId="703"/>
    <cellStyle name="40% - 강조색4 18" xfId="748"/>
    <cellStyle name="40% - 강조색4 19" xfId="793"/>
    <cellStyle name="40% - 강조색4 2" xfId="25"/>
    <cellStyle name="40% - 강조색4 20" xfId="835"/>
    <cellStyle name="40% - 강조색4 21" xfId="874"/>
    <cellStyle name="40% - 강조색4 22" xfId="913"/>
    <cellStyle name="40% - 강조색4 3" xfId="148"/>
    <cellStyle name="40% - 강조색4 4" xfId="197"/>
    <cellStyle name="40% - 강조색4 5" xfId="144"/>
    <cellStyle name="40% - 강조색4 6" xfId="179"/>
    <cellStyle name="40% - 강조색4 7" xfId="314"/>
    <cellStyle name="40% - 강조색4 8" xfId="225"/>
    <cellStyle name="40% - 강조색4 9" xfId="336"/>
    <cellStyle name="40% - 강조색5 10" xfId="376"/>
    <cellStyle name="40% - 강조색5 11" xfId="513"/>
    <cellStyle name="40% - 강조색5 12" xfId="540"/>
    <cellStyle name="40% - 강조색5 13" xfId="436"/>
    <cellStyle name="40% - 강조색5 14" xfId="568"/>
    <cellStyle name="40% - 강조색5 15" xfId="612"/>
    <cellStyle name="40% - 강조색5 16" xfId="657"/>
    <cellStyle name="40% - 강조색5 17" xfId="702"/>
    <cellStyle name="40% - 강조색5 18" xfId="747"/>
    <cellStyle name="40% - 강조색5 19" xfId="792"/>
    <cellStyle name="40% - 강조색5 2" xfId="26"/>
    <cellStyle name="40% - 강조색5 20" xfId="834"/>
    <cellStyle name="40% - 강조색5 21" xfId="873"/>
    <cellStyle name="40% - 강조색5 22" xfId="912"/>
    <cellStyle name="40% - 강조색5 3" xfId="149"/>
    <cellStyle name="40% - 강조색5 4" xfId="196"/>
    <cellStyle name="40% - 강조색5 5" xfId="151"/>
    <cellStyle name="40% - 강조색5 6" xfId="178"/>
    <cellStyle name="40% - 강조색5 7" xfId="313"/>
    <cellStyle name="40% - 강조색5 8" xfId="224"/>
    <cellStyle name="40% - 강조색5 9" xfId="335"/>
    <cellStyle name="40% - 강조색6 10" xfId="374"/>
    <cellStyle name="40% - 강조색6 11" xfId="514"/>
    <cellStyle name="40% - 강조색6 12" xfId="539"/>
    <cellStyle name="40% - 강조색6 13" xfId="452"/>
    <cellStyle name="40% - 강조색6 14" xfId="566"/>
    <cellStyle name="40% - 강조색6 15" xfId="610"/>
    <cellStyle name="40% - 강조색6 16" xfId="655"/>
    <cellStyle name="40% - 강조색6 17" xfId="700"/>
    <cellStyle name="40% - 강조색6 18" xfId="745"/>
    <cellStyle name="40% - 강조색6 19" xfId="790"/>
    <cellStyle name="40% - 강조색6 2" xfId="27"/>
    <cellStyle name="40% - 강조색6 20" xfId="832"/>
    <cellStyle name="40% - 강조색6 21" xfId="871"/>
    <cellStyle name="40% - 강조색6 22" xfId="910"/>
    <cellStyle name="40% - 강조색6 3" xfId="150"/>
    <cellStyle name="40% - 강조색6 4" xfId="195"/>
    <cellStyle name="40% - 강조색6 5" xfId="152"/>
    <cellStyle name="40% - 강조색6 6" xfId="177"/>
    <cellStyle name="40% - 강조색6 7" xfId="312"/>
    <cellStyle name="40% - 강조색6 8" xfId="222"/>
    <cellStyle name="40% - 강조색6 9" xfId="333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60% - 강조색1 10" xfId="194"/>
    <cellStyle name="60% - 강조색1 11" xfId="521"/>
    <cellStyle name="60% - 강조색1 12" xfId="532"/>
    <cellStyle name="60% - 강조색1 13" xfId="515"/>
    <cellStyle name="60% - 강조색1 14" xfId="538"/>
    <cellStyle name="60% - 강조색1 15" xfId="476"/>
    <cellStyle name="60% - 강조색1 16" xfId="550"/>
    <cellStyle name="60% - 강조색1 17" xfId="594"/>
    <cellStyle name="60% - 강조색1 18" xfId="639"/>
    <cellStyle name="60% - 강조색1 19" xfId="684"/>
    <cellStyle name="60% - 강조색1 2" xfId="34"/>
    <cellStyle name="60% - 강조색1 20" xfId="729"/>
    <cellStyle name="60% - 강조색1 21" xfId="774"/>
    <cellStyle name="60% - 강조색1 22" xfId="816"/>
    <cellStyle name="60% - 강조색1 3" xfId="153"/>
    <cellStyle name="60% - 강조색1 4" xfId="188"/>
    <cellStyle name="60% - 강조색1 5" xfId="161"/>
    <cellStyle name="60% - 강조색1 6" xfId="170"/>
    <cellStyle name="60% - 강조색1 7" xfId="305"/>
    <cellStyle name="60% - 강조색1 8" xfId="176"/>
    <cellStyle name="60% - 강조색1 9" xfId="311"/>
    <cellStyle name="60% - 강조색2 10" xfId="193"/>
    <cellStyle name="60% - 강조색2 11" xfId="522"/>
    <cellStyle name="60% - 강조색2 12" xfId="531"/>
    <cellStyle name="60% - 강조색2 13" xfId="516"/>
    <cellStyle name="60% - 강조색2 14" xfId="537"/>
    <cellStyle name="60% - 강조색2 15" xfId="477"/>
    <cellStyle name="60% - 강조색2 16" xfId="549"/>
    <cellStyle name="60% - 강조색2 17" xfId="593"/>
    <cellStyle name="60% - 강조색2 18" xfId="638"/>
    <cellStyle name="60% - 강조색2 19" xfId="683"/>
    <cellStyle name="60% - 강조색2 2" xfId="35"/>
    <cellStyle name="60% - 강조색2 20" xfId="728"/>
    <cellStyle name="60% - 강조색2 21" xfId="773"/>
    <cellStyle name="60% - 강조색2 22" xfId="815"/>
    <cellStyle name="60% - 강조색2 3" xfId="154"/>
    <cellStyle name="60% - 강조색2 4" xfId="187"/>
    <cellStyle name="60% - 강조색2 5" xfId="162"/>
    <cellStyle name="60% - 강조색2 6" xfId="169"/>
    <cellStyle name="60% - 강조색2 7" xfId="304"/>
    <cellStyle name="60% - 강조색2 8" xfId="175"/>
    <cellStyle name="60% - 강조색2 9" xfId="310"/>
    <cellStyle name="60% - 강조색3 10" xfId="192"/>
    <cellStyle name="60% - 강조색3 11" xfId="523"/>
    <cellStyle name="60% - 강조색3 12" xfId="530"/>
    <cellStyle name="60% - 강조색3 13" xfId="517"/>
    <cellStyle name="60% - 강조색3 14" xfId="536"/>
    <cellStyle name="60% - 강조색3 15" xfId="505"/>
    <cellStyle name="60% - 강조색3 16" xfId="548"/>
    <cellStyle name="60% - 강조색3 17" xfId="592"/>
    <cellStyle name="60% - 강조색3 18" xfId="637"/>
    <cellStyle name="60% - 강조색3 19" xfId="682"/>
    <cellStyle name="60% - 강조색3 2" xfId="36"/>
    <cellStyle name="60% - 강조색3 20" xfId="727"/>
    <cellStyle name="60% - 강조색3 21" xfId="772"/>
    <cellStyle name="60% - 강조색3 22" xfId="814"/>
    <cellStyle name="60% - 강조색3 3" xfId="155"/>
    <cellStyle name="60% - 강조색3 4" xfId="186"/>
    <cellStyle name="60% - 강조색3 5" xfId="163"/>
    <cellStyle name="60% - 강조색3 6" xfId="168"/>
    <cellStyle name="60% - 강조색3 7" xfId="303"/>
    <cellStyle name="60% - 강조색3 8" xfId="174"/>
    <cellStyle name="60% - 강조색3 9" xfId="309"/>
    <cellStyle name="60% - 강조색4 10" xfId="191"/>
    <cellStyle name="60% - 강조색4 11" xfId="524"/>
    <cellStyle name="60% - 강조색4 12" xfId="529"/>
    <cellStyle name="60% - 강조색4 13" xfId="518"/>
    <cellStyle name="60% - 강조색4 14" xfId="535"/>
    <cellStyle name="60% - 강조색4 15" xfId="506"/>
    <cellStyle name="60% - 강조색4 16" xfId="547"/>
    <cellStyle name="60% - 강조색4 17" xfId="357"/>
    <cellStyle name="60% - 강조색4 18" xfId="590"/>
    <cellStyle name="60% - 강조색4 19" xfId="635"/>
    <cellStyle name="60% - 강조색4 2" xfId="37"/>
    <cellStyle name="60% - 강조색4 20" xfId="680"/>
    <cellStyle name="60% - 강조색4 21" xfId="725"/>
    <cellStyle name="60% - 강조색4 22" xfId="770"/>
    <cellStyle name="60% - 강조색4 3" xfId="156"/>
    <cellStyle name="60% - 강조색4 4" xfId="185"/>
    <cellStyle name="60% - 강조색4 5" xfId="164"/>
    <cellStyle name="60% - 강조색4 6" xfId="167"/>
    <cellStyle name="60% - 강조색4 7" xfId="302"/>
    <cellStyle name="60% - 강조색4 8" xfId="173"/>
    <cellStyle name="60% - 강조색4 9" xfId="308"/>
    <cellStyle name="60% - 강조색5 10" xfId="190"/>
    <cellStyle name="60% - 강조색5 11" xfId="525"/>
    <cellStyle name="60% - 강조색5 12" xfId="528"/>
    <cellStyle name="60% - 강조색5 13" xfId="519"/>
    <cellStyle name="60% - 강조색5 14" xfId="534"/>
    <cellStyle name="60% - 강조색5 15" xfId="507"/>
    <cellStyle name="60% - 강조색5 16" xfId="546"/>
    <cellStyle name="60% - 강조색5 17" xfId="358"/>
    <cellStyle name="60% - 강조색5 18" xfId="589"/>
    <cellStyle name="60% - 강조색5 19" xfId="634"/>
    <cellStyle name="60% - 강조색5 2" xfId="38"/>
    <cellStyle name="60% - 강조색5 20" xfId="679"/>
    <cellStyle name="60% - 강조색5 21" xfId="724"/>
    <cellStyle name="60% - 강조색5 22" xfId="769"/>
    <cellStyle name="60% - 강조색5 3" xfId="157"/>
    <cellStyle name="60% - 강조색5 4" xfId="184"/>
    <cellStyle name="60% - 강조색5 5" xfId="165"/>
    <cellStyle name="60% - 강조색5 6" xfId="160"/>
    <cellStyle name="60% - 강조색5 7" xfId="301"/>
    <cellStyle name="60% - 강조색5 8" xfId="172"/>
    <cellStyle name="60% - 강조색5 9" xfId="307"/>
    <cellStyle name="60% - 강조색6 10" xfId="189"/>
    <cellStyle name="60% - 강조색6 11" xfId="526"/>
    <cellStyle name="60% - 강조색6 12" xfId="527"/>
    <cellStyle name="60% - 강조색6 13" xfId="520"/>
    <cellStyle name="60% - 강조색6 14" xfId="533"/>
    <cellStyle name="60% - 강조색6 15" xfId="508"/>
    <cellStyle name="60% - 강조색6 16" xfId="545"/>
    <cellStyle name="60% - 강조색6 17" xfId="396"/>
    <cellStyle name="60% - 강조색6 18" xfId="587"/>
    <cellStyle name="60% - 강조색6 19" xfId="632"/>
    <cellStyle name="60% - 강조색6 2" xfId="39"/>
    <cellStyle name="60% - 강조색6 20" xfId="677"/>
    <cellStyle name="60% - 강조색6 21" xfId="722"/>
    <cellStyle name="60% - 강조색6 22" xfId="767"/>
    <cellStyle name="60% - 강조색6 3" xfId="158"/>
    <cellStyle name="60% - 강조색6 4" xfId="183"/>
    <cellStyle name="60% - 강조색6 5" xfId="166"/>
    <cellStyle name="60% - 강조색6 6" xfId="159"/>
    <cellStyle name="60% - 강조색6 7" xfId="300"/>
    <cellStyle name="60% - 강조색6 8" xfId="171"/>
    <cellStyle name="60% - 강조색6 9" xfId="306"/>
    <cellStyle name="A¨­￠￢￠O [0]_INQUIRY ￠?￥i¨u¡AAⓒ￢Aⓒª " xfId="40"/>
    <cellStyle name="A¨­￠￢￠O_INQUIRY ￠?￥i¨u¡AAⓒ￢Aⓒª " xfId="41"/>
    <cellStyle name="Accent1" xfId="42"/>
    <cellStyle name="Accent2" xfId="43"/>
    <cellStyle name="Accent3" xfId="44"/>
    <cellStyle name="Accent4" xfId="45"/>
    <cellStyle name="Accent5" xfId="46"/>
    <cellStyle name="Accent6" xfId="47"/>
    <cellStyle name="AeE­ [0]_AMT " xfId="48"/>
    <cellStyle name="AeE­_AMT " xfId="49"/>
    <cellStyle name="AeE¡ⓒ [0]_INQUIRY ￠?￥i¨u¡AAⓒ￢Aⓒª " xfId="50"/>
    <cellStyle name="AeE¡ⓒ_INQUIRY ￠?￥i¨u¡AAⓒ￢Aⓒª " xfId="51"/>
    <cellStyle name="ALIGNMENT" xfId="52"/>
    <cellStyle name="AÞ¸¶ [0]_AN°y(1.25) " xfId="53"/>
    <cellStyle name="AÞ¸¶_AN°y(1.25) " xfId="54"/>
    <cellStyle name="Bad" xfId="55"/>
    <cellStyle name="C¡IA¨ª_¡ic¨u¡A¨￢I¨￢¡Æ AN¡Æe " xfId="56"/>
    <cellStyle name="C￥AØ_¿μ¾÷CoE² " xfId="57"/>
    <cellStyle name="Calculation" xfId="58"/>
    <cellStyle name="Check Cell" xfId="59"/>
    <cellStyle name="Comma [0]_ SG&amp;A Bridge " xfId="60"/>
    <cellStyle name="Comma_ SG&amp;A Bridge " xfId="61"/>
    <cellStyle name="Comma0" xfId="62"/>
    <cellStyle name="Curren?_x0012_퐀_x0017_?" xfId="63"/>
    <cellStyle name="Currency [0]_ SG&amp;A Bridge " xfId="64"/>
    <cellStyle name="Currency_ SG&amp;A Bridge " xfId="65"/>
    <cellStyle name="Currency0" xfId="66"/>
    <cellStyle name="Date" xfId="67"/>
    <cellStyle name="Explanatory Text" xfId="68"/>
    <cellStyle name="Fixed" xfId="69"/>
    <cellStyle name="Good" xfId="70"/>
    <cellStyle name="Grey" xfId="71"/>
    <cellStyle name="Header1" xfId="72"/>
    <cellStyle name="Header2" xfId="73"/>
    <cellStyle name="Heading 1" xfId="74"/>
    <cellStyle name="Heading 2" xfId="75"/>
    <cellStyle name="Heading 3" xfId="76"/>
    <cellStyle name="Heading 4" xfId="77"/>
    <cellStyle name="Input" xfId="78"/>
    <cellStyle name="Input [yellow]" xfId="79"/>
    <cellStyle name="Input_1. 중등학교" xfId="80"/>
    <cellStyle name="Linked Cell" xfId="81"/>
    <cellStyle name="Neutral" xfId="82"/>
    <cellStyle name="Normal - Style1" xfId="83"/>
    <cellStyle name="Normal_ SG&amp;A Bridge " xfId="84"/>
    <cellStyle name="Note" xfId="85"/>
    <cellStyle name="Output" xfId="86"/>
    <cellStyle name="Percent [2]" xfId="87"/>
    <cellStyle name="subhead" xfId="88"/>
    <cellStyle name="Title" xfId="89"/>
    <cellStyle name="Total" xfId="90"/>
    <cellStyle name="Warning Text" xfId="91"/>
    <cellStyle name="강조색1 10" xfId="479"/>
    <cellStyle name="강조색1 11" xfId="555"/>
    <cellStyle name="강조색1 12" xfId="599"/>
    <cellStyle name="강조색1 13" xfId="644"/>
    <cellStyle name="강조색1 14" xfId="689"/>
    <cellStyle name="강조색1 15" xfId="734"/>
    <cellStyle name="강조색1 16" xfId="779"/>
    <cellStyle name="강조색1 17" xfId="821"/>
    <cellStyle name="강조색1 18" xfId="860"/>
    <cellStyle name="강조색1 19" xfId="899"/>
    <cellStyle name="강조색1 2" xfId="92"/>
    <cellStyle name="강조색1 20" xfId="938"/>
    <cellStyle name="강조색1 21" xfId="971"/>
    <cellStyle name="강조색1 22" xfId="1000"/>
    <cellStyle name="강조색1 3" xfId="211"/>
    <cellStyle name="강조색1 4" xfId="247"/>
    <cellStyle name="강조색1 5" xfId="274"/>
    <cellStyle name="강조색1 6" xfId="322"/>
    <cellStyle name="강조색1 7" xfId="363"/>
    <cellStyle name="강조색1 8" xfId="405"/>
    <cellStyle name="강조색1 9" xfId="441"/>
    <cellStyle name="강조색2 10" xfId="480"/>
    <cellStyle name="강조색2 11" xfId="556"/>
    <cellStyle name="강조색2 12" xfId="600"/>
    <cellStyle name="강조색2 13" xfId="645"/>
    <cellStyle name="강조색2 14" xfId="690"/>
    <cellStyle name="강조색2 15" xfId="735"/>
    <cellStyle name="강조색2 16" xfId="780"/>
    <cellStyle name="강조색2 17" xfId="822"/>
    <cellStyle name="강조색2 18" xfId="861"/>
    <cellStyle name="강조색2 19" xfId="900"/>
    <cellStyle name="강조색2 2" xfId="93"/>
    <cellStyle name="강조색2 20" xfId="939"/>
    <cellStyle name="강조색2 21" xfId="972"/>
    <cellStyle name="강조색2 22" xfId="1001"/>
    <cellStyle name="강조색2 3" xfId="212"/>
    <cellStyle name="강조색2 4" xfId="248"/>
    <cellStyle name="강조색2 5" xfId="275"/>
    <cellStyle name="강조색2 6" xfId="323"/>
    <cellStyle name="강조색2 7" xfId="364"/>
    <cellStyle name="강조색2 8" xfId="406"/>
    <cellStyle name="강조색2 9" xfId="442"/>
    <cellStyle name="강조색3 10" xfId="481"/>
    <cellStyle name="강조색3 11" xfId="557"/>
    <cellStyle name="강조색3 12" xfId="601"/>
    <cellStyle name="강조색3 13" xfId="646"/>
    <cellStyle name="강조색3 14" xfId="691"/>
    <cellStyle name="강조색3 15" xfId="736"/>
    <cellStyle name="강조색3 16" xfId="781"/>
    <cellStyle name="강조색3 17" xfId="823"/>
    <cellStyle name="강조색3 18" xfId="862"/>
    <cellStyle name="강조색3 19" xfId="901"/>
    <cellStyle name="강조색3 2" xfId="94"/>
    <cellStyle name="강조색3 20" xfId="940"/>
    <cellStyle name="강조색3 21" xfId="973"/>
    <cellStyle name="강조색3 22" xfId="1002"/>
    <cellStyle name="강조색3 3" xfId="213"/>
    <cellStyle name="강조색3 4" xfId="249"/>
    <cellStyle name="강조색3 5" xfId="276"/>
    <cellStyle name="강조색3 6" xfId="324"/>
    <cellStyle name="강조색3 7" xfId="365"/>
    <cellStyle name="강조색3 8" xfId="407"/>
    <cellStyle name="강조색3 9" xfId="443"/>
    <cellStyle name="강조색4 10" xfId="482"/>
    <cellStyle name="강조색4 11" xfId="558"/>
    <cellStyle name="강조색4 12" xfId="602"/>
    <cellStyle name="강조색4 13" xfId="647"/>
    <cellStyle name="강조색4 14" xfId="692"/>
    <cellStyle name="강조색4 15" xfId="737"/>
    <cellStyle name="강조색4 16" xfId="782"/>
    <cellStyle name="강조색4 17" xfId="824"/>
    <cellStyle name="강조색4 18" xfId="863"/>
    <cellStyle name="강조색4 19" xfId="902"/>
    <cellStyle name="강조색4 2" xfId="95"/>
    <cellStyle name="강조색4 20" xfId="941"/>
    <cellStyle name="강조색4 21" xfId="974"/>
    <cellStyle name="강조색4 22" xfId="1003"/>
    <cellStyle name="강조색4 3" xfId="214"/>
    <cellStyle name="강조색4 4" xfId="250"/>
    <cellStyle name="강조색4 5" xfId="277"/>
    <cellStyle name="강조색4 6" xfId="325"/>
    <cellStyle name="강조색4 7" xfId="366"/>
    <cellStyle name="강조색4 8" xfId="408"/>
    <cellStyle name="강조색4 9" xfId="444"/>
    <cellStyle name="강조색5 10" xfId="483"/>
    <cellStyle name="강조색5 11" xfId="559"/>
    <cellStyle name="강조색5 12" xfId="603"/>
    <cellStyle name="강조색5 13" xfId="648"/>
    <cellStyle name="강조색5 14" xfId="693"/>
    <cellStyle name="강조색5 15" xfId="738"/>
    <cellStyle name="강조색5 16" xfId="783"/>
    <cellStyle name="강조색5 17" xfId="825"/>
    <cellStyle name="강조색5 18" xfId="864"/>
    <cellStyle name="강조색5 19" xfId="903"/>
    <cellStyle name="강조색5 2" xfId="96"/>
    <cellStyle name="강조색5 20" xfId="942"/>
    <cellStyle name="강조색5 21" xfId="975"/>
    <cellStyle name="강조색5 22" xfId="1004"/>
    <cellStyle name="강조색5 3" xfId="215"/>
    <cellStyle name="강조색5 4" xfId="251"/>
    <cellStyle name="강조색5 5" xfId="278"/>
    <cellStyle name="강조색5 6" xfId="326"/>
    <cellStyle name="강조색5 7" xfId="367"/>
    <cellStyle name="강조색5 8" xfId="409"/>
    <cellStyle name="강조색5 9" xfId="445"/>
    <cellStyle name="강조색6 10" xfId="484"/>
    <cellStyle name="강조색6 11" xfId="560"/>
    <cellStyle name="강조색6 12" xfId="604"/>
    <cellStyle name="강조색6 13" xfId="649"/>
    <cellStyle name="강조색6 14" xfId="694"/>
    <cellStyle name="강조색6 15" xfId="739"/>
    <cellStyle name="강조색6 16" xfId="784"/>
    <cellStyle name="강조색6 17" xfId="826"/>
    <cellStyle name="강조색6 18" xfId="865"/>
    <cellStyle name="강조색6 19" xfId="904"/>
    <cellStyle name="강조색6 2" xfId="97"/>
    <cellStyle name="강조색6 20" xfId="943"/>
    <cellStyle name="강조색6 21" xfId="976"/>
    <cellStyle name="강조색6 22" xfId="1005"/>
    <cellStyle name="강조색6 3" xfId="216"/>
    <cellStyle name="강조색6 4" xfId="252"/>
    <cellStyle name="강조색6 5" xfId="279"/>
    <cellStyle name="강조색6 6" xfId="327"/>
    <cellStyle name="강조색6 7" xfId="368"/>
    <cellStyle name="강조색6 8" xfId="410"/>
    <cellStyle name="강조색6 9" xfId="446"/>
    <cellStyle name="경고문 10" xfId="485"/>
    <cellStyle name="경고문 11" xfId="561"/>
    <cellStyle name="경고문 12" xfId="605"/>
    <cellStyle name="경고문 13" xfId="650"/>
    <cellStyle name="경고문 14" xfId="695"/>
    <cellStyle name="경고문 15" xfId="740"/>
    <cellStyle name="경고문 16" xfId="785"/>
    <cellStyle name="경고문 17" xfId="827"/>
    <cellStyle name="경고문 18" xfId="866"/>
    <cellStyle name="경고문 19" xfId="905"/>
    <cellStyle name="경고문 2" xfId="98"/>
    <cellStyle name="경고문 20" xfId="944"/>
    <cellStyle name="경고문 21" xfId="977"/>
    <cellStyle name="경고문 22" xfId="1006"/>
    <cellStyle name="경고문 3" xfId="217"/>
    <cellStyle name="경고문 4" xfId="253"/>
    <cellStyle name="경고문 5" xfId="280"/>
    <cellStyle name="경고문 6" xfId="328"/>
    <cellStyle name="경고문 7" xfId="369"/>
    <cellStyle name="경고문 8" xfId="411"/>
    <cellStyle name="경고문 9" xfId="447"/>
    <cellStyle name="계산 10" xfId="486"/>
    <cellStyle name="계산 11" xfId="562"/>
    <cellStyle name="계산 12" xfId="606"/>
    <cellStyle name="계산 13" xfId="651"/>
    <cellStyle name="계산 14" xfId="696"/>
    <cellStyle name="계산 15" xfId="741"/>
    <cellStyle name="계산 16" xfId="786"/>
    <cellStyle name="계산 17" xfId="828"/>
    <cellStyle name="계산 18" xfId="867"/>
    <cellStyle name="계산 19" xfId="906"/>
    <cellStyle name="계산 2" xfId="99"/>
    <cellStyle name="계산 20" xfId="945"/>
    <cellStyle name="계산 21" xfId="978"/>
    <cellStyle name="계산 22" xfId="1007"/>
    <cellStyle name="계산 3" xfId="218"/>
    <cellStyle name="계산 4" xfId="254"/>
    <cellStyle name="계산 5" xfId="281"/>
    <cellStyle name="계산 6" xfId="329"/>
    <cellStyle name="계산 7" xfId="370"/>
    <cellStyle name="계산 8" xfId="412"/>
    <cellStyle name="계산 9" xfId="448"/>
    <cellStyle name="나쁨 10" xfId="487"/>
    <cellStyle name="나쁨 11" xfId="563"/>
    <cellStyle name="나쁨 12" xfId="607"/>
    <cellStyle name="나쁨 13" xfId="652"/>
    <cellStyle name="나쁨 14" xfId="697"/>
    <cellStyle name="나쁨 15" xfId="742"/>
    <cellStyle name="나쁨 16" xfId="787"/>
    <cellStyle name="나쁨 17" xfId="829"/>
    <cellStyle name="나쁨 18" xfId="868"/>
    <cellStyle name="나쁨 19" xfId="907"/>
    <cellStyle name="나쁨 2" xfId="100"/>
    <cellStyle name="나쁨 20" xfId="946"/>
    <cellStyle name="나쁨 21" xfId="979"/>
    <cellStyle name="나쁨 22" xfId="1008"/>
    <cellStyle name="나쁨 3" xfId="219"/>
    <cellStyle name="나쁨 4" xfId="255"/>
    <cellStyle name="나쁨 5" xfId="282"/>
    <cellStyle name="나쁨 6" xfId="330"/>
    <cellStyle name="나쁨 7" xfId="371"/>
    <cellStyle name="나쁨 8" xfId="413"/>
    <cellStyle name="나쁨 9" xfId="449"/>
    <cellStyle name="날짜" xfId="101"/>
    <cellStyle name="똿뗦먛귟 [0.00]_PRODUCT DETAIL Q1" xfId="102"/>
    <cellStyle name="똿뗦먛귟_PRODUCT DETAIL Q1" xfId="103"/>
    <cellStyle name="메모 10" xfId="488"/>
    <cellStyle name="메모 11" xfId="567"/>
    <cellStyle name="메모 12" xfId="611"/>
    <cellStyle name="메모 13" xfId="656"/>
    <cellStyle name="메모 14" xfId="701"/>
    <cellStyle name="메모 15" xfId="746"/>
    <cellStyle name="메모 16" xfId="791"/>
    <cellStyle name="메모 17" xfId="833"/>
    <cellStyle name="메모 18" xfId="872"/>
    <cellStyle name="메모 19" xfId="911"/>
    <cellStyle name="메모 2" xfId="104"/>
    <cellStyle name="메모 20" xfId="949"/>
    <cellStyle name="메모 21" xfId="982"/>
    <cellStyle name="메모 22" xfId="1009"/>
    <cellStyle name="메모 3" xfId="223"/>
    <cellStyle name="메모 4" xfId="256"/>
    <cellStyle name="메모 5" xfId="283"/>
    <cellStyle name="메모 6" xfId="334"/>
    <cellStyle name="메모 7" xfId="375"/>
    <cellStyle name="메모 8" xfId="416"/>
    <cellStyle name="메모 9" xfId="453"/>
    <cellStyle name="믅됞 [0.00]_PRODUCT DETAIL Q1" xfId="105"/>
    <cellStyle name="믅됞_PRODUCT DETAIL Q1" xfId="106"/>
    <cellStyle name="보통 10" xfId="489"/>
    <cellStyle name="보통 11" xfId="570"/>
    <cellStyle name="보통 12" xfId="614"/>
    <cellStyle name="보통 13" xfId="659"/>
    <cellStyle name="보통 14" xfId="704"/>
    <cellStyle name="보통 15" xfId="749"/>
    <cellStyle name="보통 16" xfId="794"/>
    <cellStyle name="보통 17" xfId="836"/>
    <cellStyle name="보통 18" xfId="875"/>
    <cellStyle name="보통 19" xfId="914"/>
    <cellStyle name="보통 2" xfId="107"/>
    <cellStyle name="보통 20" xfId="950"/>
    <cellStyle name="보통 21" xfId="983"/>
    <cellStyle name="보통 22" xfId="1010"/>
    <cellStyle name="보통 3" xfId="226"/>
    <cellStyle name="보통 4" xfId="258"/>
    <cellStyle name="보통 5" xfId="284"/>
    <cellStyle name="보통 6" xfId="337"/>
    <cellStyle name="보통 7" xfId="378"/>
    <cellStyle name="보통 8" xfId="417"/>
    <cellStyle name="보통 9" xfId="456"/>
    <cellStyle name="뷭?_BOOKSHIP" xfId="108"/>
    <cellStyle name="설명 텍스트 10" xfId="490"/>
    <cellStyle name="설명 텍스트 11" xfId="572"/>
    <cellStyle name="설명 텍스트 12" xfId="616"/>
    <cellStyle name="설명 텍스트 13" xfId="661"/>
    <cellStyle name="설명 텍스트 14" xfId="706"/>
    <cellStyle name="설명 텍스트 15" xfId="751"/>
    <cellStyle name="설명 텍스트 16" xfId="796"/>
    <cellStyle name="설명 텍스트 17" xfId="838"/>
    <cellStyle name="설명 텍스트 18" xfId="877"/>
    <cellStyle name="설명 텍스트 19" xfId="916"/>
    <cellStyle name="설명 텍스트 2" xfId="109"/>
    <cellStyle name="설명 텍스트 20" xfId="951"/>
    <cellStyle name="설명 텍스트 21" xfId="984"/>
    <cellStyle name="설명 텍스트 22" xfId="1011"/>
    <cellStyle name="설명 텍스트 3" xfId="228"/>
    <cellStyle name="설명 텍스트 4" xfId="259"/>
    <cellStyle name="설명 텍스트 5" xfId="285"/>
    <cellStyle name="설명 텍스트 6" xfId="339"/>
    <cellStyle name="설명 텍스트 7" xfId="380"/>
    <cellStyle name="설명 텍스트 8" xfId="418"/>
    <cellStyle name="설명 텍스트 9" xfId="458"/>
    <cellStyle name="셀 확인 10" xfId="491"/>
    <cellStyle name="셀 확인 11" xfId="573"/>
    <cellStyle name="셀 확인 12" xfId="617"/>
    <cellStyle name="셀 확인 13" xfId="662"/>
    <cellStyle name="셀 확인 14" xfId="707"/>
    <cellStyle name="셀 확인 15" xfId="752"/>
    <cellStyle name="셀 확인 16" xfId="797"/>
    <cellStyle name="셀 확인 17" xfId="839"/>
    <cellStyle name="셀 확인 18" xfId="878"/>
    <cellStyle name="셀 확인 19" xfId="917"/>
    <cellStyle name="셀 확인 2" xfId="110"/>
    <cellStyle name="셀 확인 20" xfId="952"/>
    <cellStyle name="셀 확인 21" xfId="985"/>
    <cellStyle name="셀 확인 22" xfId="1012"/>
    <cellStyle name="셀 확인 3" xfId="229"/>
    <cellStyle name="셀 확인 4" xfId="260"/>
    <cellStyle name="셀 확인 5" xfId="286"/>
    <cellStyle name="셀 확인 6" xfId="340"/>
    <cellStyle name="셀 확인 7" xfId="381"/>
    <cellStyle name="셀 확인 8" xfId="419"/>
    <cellStyle name="셀 확인 9" xfId="459"/>
    <cellStyle name="쉼표 [0]" xfId="1027" builtinId="6"/>
    <cellStyle name="쉼표 [0] 10" xfId="492"/>
    <cellStyle name="쉼표 [0] 10 11" xfId="1119"/>
    <cellStyle name="쉼표 [0] 10 11 2" xfId="1130"/>
    <cellStyle name="쉼표 [0] 10 13 3" xfId="1133"/>
    <cellStyle name="쉼표 [0] 10 14" xfId="1132"/>
    <cellStyle name="쉼표 [0] 10 18" xfId="1121"/>
    <cellStyle name="쉼표 [0] 10 2" xfId="1046"/>
    <cellStyle name="쉼표 [0] 10 2 16" xfId="1122"/>
    <cellStyle name="쉼표 [0] 10 2 23" xfId="1120"/>
    <cellStyle name="쉼표 [0] 10 22" xfId="1124"/>
    <cellStyle name="쉼표 [0] 10 3" xfId="1088"/>
    <cellStyle name="쉼표 [0] 10 32" xfId="1118"/>
    <cellStyle name="쉼표 [0] 10 9" xfId="1129"/>
    <cellStyle name="쉼표 [0] 11" xfId="1113"/>
    <cellStyle name="쉼표 [0] 11 10" xfId="1127"/>
    <cellStyle name="쉼표 [0] 11 17" xfId="1123"/>
    <cellStyle name="쉼표 [0] 11 8" xfId="1131"/>
    <cellStyle name="쉼표 [0] 12" xfId="618"/>
    <cellStyle name="쉼표 [0] 12 2" xfId="1049"/>
    <cellStyle name="쉼표 [0] 12 3" xfId="1091"/>
    <cellStyle name="쉼표 [0] 13" xfId="663"/>
    <cellStyle name="쉼표 [0] 13 2" xfId="1051"/>
    <cellStyle name="쉼표 [0] 13 3" xfId="1093"/>
    <cellStyle name="쉼표 [0] 14" xfId="708"/>
    <cellStyle name="쉼표 [0] 14 2" xfId="1053"/>
    <cellStyle name="쉼표 [0] 14 3" xfId="1095"/>
    <cellStyle name="쉼표 [0] 15" xfId="753"/>
    <cellStyle name="쉼표 [0] 15 2" xfId="1055"/>
    <cellStyle name="쉼표 [0] 15 3" xfId="1097"/>
    <cellStyle name="쉼표 [0] 16" xfId="798"/>
    <cellStyle name="쉼표 [0] 16 2" xfId="1057"/>
    <cellStyle name="쉼표 [0] 16 3" xfId="1099"/>
    <cellStyle name="쉼표 [0] 17" xfId="840"/>
    <cellStyle name="쉼표 [0] 17 2" xfId="1059"/>
    <cellStyle name="쉼표 [0] 17 3" xfId="1101"/>
    <cellStyle name="쉼표 [0] 18" xfId="879"/>
    <cellStyle name="쉼표 [0] 18 2" xfId="1061"/>
    <cellStyle name="쉼표 [0] 18 3" xfId="1103"/>
    <cellStyle name="쉼표 [0] 19" xfId="918"/>
    <cellStyle name="쉼표 [0] 19 2" xfId="1063"/>
    <cellStyle name="쉼표 [0] 19 3" xfId="1105"/>
    <cellStyle name="쉼표 [0] 2" xfId="111"/>
    <cellStyle name="쉼표 [0] 2 10" xfId="493"/>
    <cellStyle name="쉼표 [0] 2 10 2" xfId="1047"/>
    <cellStyle name="쉼표 [0] 2 10 3" xfId="1089"/>
    <cellStyle name="쉼표 [0] 2 11" xfId="574"/>
    <cellStyle name="쉼표 [0] 2 11 2" xfId="1048"/>
    <cellStyle name="쉼표 [0] 2 11 3" xfId="1090"/>
    <cellStyle name="쉼표 [0] 2 12" xfId="619"/>
    <cellStyle name="쉼표 [0] 2 12 2" xfId="1050"/>
    <cellStyle name="쉼표 [0] 2 12 3" xfId="1092"/>
    <cellStyle name="쉼표 [0] 2 13" xfId="664"/>
    <cellStyle name="쉼표 [0] 2 13 2" xfId="1052"/>
    <cellStyle name="쉼표 [0] 2 13 3" xfId="1094"/>
    <cellStyle name="쉼표 [0] 2 14" xfId="709"/>
    <cellStyle name="쉼표 [0] 2 14 2" xfId="1054"/>
    <cellStyle name="쉼표 [0] 2 14 3" xfId="1096"/>
    <cellStyle name="쉼표 [0] 2 15" xfId="754"/>
    <cellStyle name="쉼표 [0] 2 15 2" xfId="1056"/>
    <cellStyle name="쉼표 [0] 2 15 3" xfId="1098"/>
    <cellStyle name="쉼표 [0] 2 16" xfId="799"/>
    <cellStyle name="쉼표 [0] 2 16 2" xfId="1058"/>
    <cellStyle name="쉼표 [0] 2 16 3" xfId="1100"/>
    <cellStyle name="쉼표 [0] 2 17" xfId="841"/>
    <cellStyle name="쉼표 [0] 2 17 2" xfId="1060"/>
    <cellStyle name="쉼표 [0] 2 17 3" xfId="1102"/>
    <cellStyle name="쉼표 [0] 2 18" xfId="880"/>
    <cellStyle name="쉼표 [0] 2 18 2" xfId="1062"/>
    <cellStyle name="쉼표 [0] 2 18 3" xfId="1104"/>
    <cellStyle name="쉼표 [0] 2 19" xfId="919"/>
    <cellStyle name="쉼표 [0] 2 19 2" xfId="1064"/>
    <cellStyle name="쉼표 [0] 2 19 3" xfId="1106"/>
    <cellStyle name="쉼표 [0] 2 2" xfId="112"/>
    <cellStyle name="쉼표 [0] 2 2 2" xfId="1030"/>
    <cellStyle name="쉼표 [0] 2 2 3" xfId="1072"/>
    <cellStyle name="쉼표 [0] 2 20" xfId="954"/>
    <cellStyle name="쉼표 [0] 2 20 2" xfId="1066"/>
    <cellStyle name="쉼표 [0] 2 20 3" xfId="1108"/>
    <cellStyle name="쉼표 [0] 2 21" xfId="987"/>
    <cellStyle name="쉼표 [0] 2 21 2" xfId="1068"/>
    <cellStyle name="쉼표 [0] 2 21 3" xfId="1110"/>
    <cellStyle name="쉼표 [0] 2 22" xfId="1014"/>
    <cellStyle name="쉼표 [0] 2 22 2" xfId="1070"/>
    <cellStyle name="쉼표 [0] 2 22 3" xfId="1112"/>
    <cellStyle name="쉼표 [0] 2 23" xfId="1029"/>
    <cellStyle name="쉼표 [0] 2 24" xfId="1071"/>
    <cellStyle name="쉼표 [0] 2 3" xfId="231"/>
    <cellStyle name="쉼표 [0] 2 3 2" xfId="1032"/>
    <cellStyle name="쉼표 [0] 2 3 3" xfId="1074"/>
    <cellStyle name="쉼표 [0] 2 4" xfId="262"/>
    <cellStyle name="쉼표 [0] 2 4 2" xfId="1035"/>
    <cellStyle name="쉼표 [0] 2 4 3" xfId="1077"/>
    <cellStyle name="쉼표 [0] 2 5" xfId="288"/>
    <cellStyle name="쉼표 [0] 2 5 2" xfId="1037"/>
    <cellStyle name="쉼표 [0] 2 5 3" xfId="1079"/>
    <cellStyle name="쉼표 [0] 2 6" xfId="342"/>
    <cellStyle name="쉼표 [0] 2 6 2" xfId="1039"/>
    <cellStyle name="쉼표 [0] 2 6 3" xfId="1081"/>
    <cellStyle name="쉼표 [0] 2 7" xfId="383"/>
    <cellStyle name="쉼표 [0] 2 7 2" xfId="1041"/>
    <cellStyle name="쉼표 [0] 2 7 3" xfId="1083"/>
    <cellStyle name="쉼표 [0] 2 8" xfId="421"/>
    <cellStyle name="쉼표 [0] 2 8 2" xfId="1043"/>
    <cellStyle name="쉼표 [0] 2 8 3" xfId="1085"/>
    <cellStyle name="쉼표 [0] 2 9" xfId="461"/>
    <cellStyle name="쉼표 [0] 2 9 2" xfId="1045"/>
    <cellStyle name="쉼표 [0] 2 9 3" xfId="1087"/>
    <cellStyle name="쉼표 [0] 20" xfId="953"/>
    <cellStyle name="쉼표 [0] 20 2" xfId="1065"/>
    <cellStyle name="쉼표 [0] 20 3" xfId="1107"/>
    <cellStyle name="쉼표 [0] 21" xfId="986"/>
    <cellStyle name="쉼표 [0] 21 2" xfId="1067"/>
    <cellStyle name="쉼표 [0] 21 3" xfId="1109"/>
    <cellStyle name="쉼표 [0] 22" xfId="1013"/>
    <cellStyle name="쉼표 [0] 22 2" xfId="1069"/>
    <cellStyle name="쉼표 [0] 22 3" xfId="1111"/>
    <cellStyle name="쉼표 [0] 23" xfId="1115"/>
    <cellStyle name="쉼표 [0] 3" xfId="230"/>
    <cellStyle name="쉼표 [0] 3 2" xfId="232"/>
    <cellStyle name="쉼표 [0] 3 2 2" xfId="1033"/>
    <cellStyle name="쉼표 [0] 3 2 3" xfId="1075"/>
    <cellStyle name="쉼표 [0] 3 3" xfId="1031"/>
    <cellStyle name="쉼표 [0] 3 4" xfId="1073"/>
    <cellStyle name="쉼표 [0] 4" xfId="261"/>
    <cellStyle name="쉼표 [0] 4 2" xfId="1034"/>
    <cellStyle name="쉼표 [0] 4 3" xfId="1076"/>
    <cellStyle name="쉼표 [0] 42" xfId="1125"/>
    <cellStyle name="쉼표 [0] 46" xfId="1126"/>
    <cellStyle name="쉼표 [0] 5" xfId="287"/>
    <cellStyle name="쉼표 [0] 5 2" xfId="1036"/>
    <cellStyle name="쉼표 [0] 5 3" xfId="1078"/>
    <cellStyle name="쉼표 [0] 5 9" xfId="1128"/>
    <cellStyle name="쉼표 [0] 6" xfId="341"/>
    <cellStyle name="쉼표 [0] 6 2" xfId="1038"/>
    <cellStyle name="쉼표 [0] 6 3" xfId="1080"/>
    <cellStyle name="쉼표 [0] 7" xfId="382"/>
    <cellStyle name="쉼표 [0] 7 2" xfId="1040"/>
    <cellStyle name="쉼표 [0] 7 3" xfId="1082"/>
    <cellStyle name="쉼표 [0] 8" xfId="420"/>
    <cellStyle name="쉼표 [0] 8 2" xfId="1042"/>
    <cellStyle name="쉼표 [0] 8 3" xfId="1084"/>
    <cellStyle name="쉼표 [0] 9" xfId="460"/>
    <cellStyle name="쉼표 [0] 9 2" xfId="1044"/>
    <cellStyle name="쉼표 [0] 9 3" xfId="1086"/>
    <cellStyle name="스타일 1" xfId="113"/>
    <cellStyle name="연결된 셀 10" xfId="494"/>
    <cellStyle name="연결된 셀 11" xfId="576"/>
    <cellStyle name="연결된 셀 12" xfId="621"/>
    <cellStyle name="연결된 셀 13" xfId="666"/>
    <cellStyle name="연결된 셀 14" xfId="711"/>
    <cellStyle name="연결된 셀 15" xfId="756"/>
    <cellStyle name="연결된 셀 16" xfId="801"/>
    <cellStyle name="연결된 셀 17" xfId="843"/>
    <cellStyle name="연결된 셀 18" xfId="882"/>
    <cellStyle name="연결된 셀 19" xfId="921"/>
    <cellStyle name="연결된 셀 2" xfId="114"/>
    <cellStyle name="연결된 셀 20" xfId="955"/>
    <cellStyle name="연결된 셀 21" xfId="988"/>
    <cellStyle name="연결된 셀 22" xfId="1015"/>
    <cellStyle name="연결된 셀 3" xfId="234"/>
    <cellStyle name="연결된 셀 4" xfId="263"/>
    <cellStyle name="연결된 셀 5" xfId="289"/>
    <cellStyle name="연결된 셀 6" xfId="344"/>
    <cellStyle name="연결된 셀 7" xfId="385"/>
    <cellStyle name="연결된 셀 8" xfId="422"/>
    <cellStyle name="연결된 셀 9" xfId="463"/>
    <cellStyle name="요약 10" xfId="495"/>
    <cellStyle name="요약 11" xfId="577"/>
    <cellStyle name="요약 12" xfId="622"/>
    <cellStyle name="요약 13" xfId="667"/>
    <cellStyle name="요약 14" xfId="712"/>
    <cellStyle name="요약 15" xfId="757"/>
    <cellStyle name="요약 16" xfId="802"/>
    <cellStyle name="요약 17" xfId="844"/>
    <cellStyle name="요약 18" xfId="883"/>
    <cellStyle name="요약 19" xfId="922"/>
    <cellStyle name="요약 2" xfId="115"/>
    <cellStyle name="요약 20" xfId="956"/>
    <cellStyle name="요약 21" xfId="989"/>
    <cellStyle name="요약 22" xfId="1016"/>
    <cellStyle name="요약 3" xfId="235"/>
    <cellStyle name="요약 4" xfId="264"/>
    <cellStyle name="요약 5" xfId="290"/>
    <cellStyle name="요약 6" xfId="345"/>
    <cellStyle name="요약 7" xfId="386"/>
    <cellStyle name="요약 8" xfId="423"/>
    <cellStyle name="요약 9" xfId="464"/>
    <cellStyle name="입력 10" xfId="496"/>
    <cellStyle name="입력 11" xfId="578"/>
    <cellStyle name="입력 12" xfId="623"/>
    <cellStyle name="입력 13" xfId="668"/>
    <cellStyle name="입력 14" xfId="713"/>
    <cellStyle name="입력 15" xfId="758"/>
    <cellStyle name="입력 16" xfId="803"/>
    <cellStyle name="입력 17" xfId="845"/>
    <cellStyle name="입력 18" xfId="884"/>
    <cellStyle name="입력 19" xfId="923"/>
    <cellStyle name="입력 2" xfId="116"/>
    <cellStyle name="입력 20" xfId="957"/>
    <cellStyle name="입력 21" xfId="990"/>
    <cellStyle name="입력 22" xfId="1017"/>
    <cellStyle name="입력 3" xfId="236"/>
    <cellStyle name="입력 4" xfId="265"/>
    <cellStyle name="입력 5" xfId="291"/>
    <cellStyle name="입력 6" xfId="346"/>
    <cellStyle name="입력 7" xfId="387"/>
    <cellStyle name="입력 8" xfId="424"/>
    <cellStyle name="입력 9" xfId="465"/>
    <cellStyle name="제목 1 10" xfId="498"/>
    <cellStyle name="제목 1 11" xfId="580"/>
    <cellStyle name="제목 1 12" xfId="625"/>
    <cellStyle name="제목 1 13" xfId="670"/>
    <cellStyle name="제목 1 14" xfId="715"/>
    <cellStyle name="제목 1 15" xfId="760"/>
    <cellStyle name="제목 1 16" xfId="805"/>
    <cellStyle name="제목 1 17" xfId="847"/>
    <cellStyle name="제목 1 18" xfId="886"/>
    <cellStyle name="제목 1 19" xfId="925"/>
    <cellStyle name="제목 1 2" xfId="118"/>
    <cellStyle name="제목 1 20" xfId="959"/>
    <cellStyle name="제목 1 21" xfId="992"/>
    <cellStyle name="제목 1 22" xfId="1019"/>
    <cellStyle name="제목 1 3" xfId="238"/>
    <cellStyle name="제목 1 4" xfId="267"/>
    <cellStyle name="제목 1 5" xfId="293"/>
    <cellStyle name="제목 1 6" xfId="348"/>
    <cellStyle name="제목 1 7" xfId="389"/>
    <cellStyle name="제목 1 8" xfId="426"/>
    <cellStyle name="제목 1 9" xfId="467"/>
    <cellStyle name="제목 10" xfId="388"/>
    <cellStyle name="제목 11" xfId="425"/>
    <cellStyle name="제목 12" xfId="466"/>
    <cellStyle name="제목 13" xfId="497"/>
    <cellStyle name="제목 14" xfId="579"/>
    <cellStyle name="제목 15" xfId="624"/>
    <cellStyle name="제목 16" xfId="669"/>
    <cellStyle name="제목 17" xfId="714"/>
    <cellStyle name="제목 18" xfId="759"/>
    <cellStyle name="제목 19" xfId="804"/>
    <cellStyle name="제목 2 10" xfId="499"/>
    <cellStyle name="제목 2 11" xfId="581"/>
    <cellStyle name="제목 2 12" xfId="626"/>
    <cellStyle name="제목 2 13" xfId="671"/>
    <cellStyle name="제목 2 14" xfId="716"/>
    <cellStyle name="제목 2 15" xfId="761"/>
    <cellStyle name="제목 2 16" xfId="806"/>
    <cellStyle name="제목 2 17" xfId="848"/>
    <cellStyle name="제목 2 18" xfId="887"/>
    <cellStyle name="제목 2 19" xfId="926"/>
    <cellStyle name="제목 2 2" xfId="119"/>
    <cellStyle name="제목 2 20" xfId="960"/>
    <cellStyle name="제목 2 21" xfId="993"/>
    <cellStyle name="제목 2 22" xfId="1020"/>
    <cellStyle name="제목 2 3" xfId="239"/>
    <cellStyle name="제목 2 4" xfId="268"/>
    <cellStyle name="제목 2 5" xfId="294"/>
    <cellStyle name="제목 2 6" xfId="349"/>
    <cellStyle name="제목 2 7" xfId="390"/>
    <cellStyle name="제목 2 8" xfId="427"/>
    <cellStyle name="제목 2 9" xfId="468"/>
    <cellStyle name="제목 20" xfId="846"/>
    <cellStyle name="제목 21" xfId="885"/>
    <cellStyle name="제목 22" xfId="924"/>
    <cellStyle name="제목 23" xfId="958"/>
    <cellStyle name="제목 24" xfId="991"/>
    <cellStyle name="제목 25" xfId="1018"/>
    <cellStyle name="제목 3 10" xfId="500"/>
    <cellStyle name="제목 3 11" xfId="582"/>
    <cellStyle name="제목 3 12" xfId="627"/>
    <cellStyle name="제목 3 13" xfId="672"/>
    <cellStyle name="제목 3 14" xfId="717"/>
    <cellStyle name="제목 3 15" xfId="762"/>
    <cellStyle name="제목 3 16" xfId="807"/>
    <cellStyle name="제목 3 17" xfId="849"/>
    <cellStyle name="제목 3 18" xfId="888"/>
    <cellStyle name="제목 3 19" xfId="927"/>
    <cellStyle name="제목 3 2" xfId="120"/>
    <cellStyle name="제목 3 20" xfId="961"/>
    <cellStyle name="제목 3 21" xfId="994"/>
    <cellStyle name="제목 3 22" xfId="1021"/>
    <cellStyle name="제목 3 3" xfId="240"/>
    <cellStyle name="제목 3 4" xfId="269"/>
    <cellStyle name="제목 3 5" xfId="295"/>
    <cellStyle name="제목 3 6" xfId="350"/>
    <cellStyle name="제목 3 7" xfId="391"/>
    <cellStyle name="제목 3 8" xfId="428"/>
    <cellStyle name="제목 3 9" xfId="469"/>
    <cellStyle name="제목 4 10" xfId="501"/>
    <cellStyle name="제목 4 11" xfId="583"/>
    <cellStyle name="제목 4 12" xfId="628"/>
    <cellStyle name="제목 4 13" xfId="673"/>
    <cellStyle name="제목 4 14" xfId="718"/>
    <cellStyle name="제목 4 15" xfId="763"/>
    <cellStyle name="제목 4 16" xfId="808"/>
    <cellStyle name="제목 4 17" xfId="850"/>
    <cellStyle name="제목 4 18" xfId="889"/>
    <cellStyle name="제목 4 19" xfId="928"/>
    <cellStyle name="제목 4 2" xfId="121"/>
    <cellStyle name="제목 4 20" xfId="962"/>
    <cellStyle name="제목 4 21" xfId="995"/>
    <cellStyle name="제목 4 22" xfId="1022"/>
    <cellStyle name="제목 4 3" xfId="241"/>
    <cellStyle name="제목 4 4" xfId="270"/>
    <cellStyle name="제목 4 5" xfId="296"/>
    <cellStyle name="제목 4 6" xfId="351"/>
    <cellStyle name="제목 4 7" xfId="392"/>
    <cellStyle name="제목 4 8" xfId="429"/>
    <cellStyle name="제목 4 9" xfId="470"/>
    <cellStyle name="제목 5" xfId="117"/>
    <cellStyle name="제목 6" xfId="237"/>
    <cellStyle name="제목 7" xfId="266"/>
    <cellStyle name="제목 8" xfId="292"/>
    <cellStyle name="제목 9" xfId="347"/>
    <cellStyle name="좋음 10" xfId="502"/>
    <cellStyle name="좋음 11" xfId="584"/>
    <cellStyle name="좋음 12" xfId="629"/>
    <cellStyle name="좋음 13" xfId="674"/>
    <cellStyle name="좋음 14" xfId="719"/>
    <cellStyle name="좋음 15" xfId="764"/>
    <cellStyle name="좋음 16" xfId="809"/>
    <cellStyle name="좋음 17" xfId="851"/>
    <cellStyle name="좋음 18" xfId="890"/>
    <cellStyle name="좋음 19" xfId="929"/>
    <cellStyle name="좋음 2" xfId="122"/>
    <cellStyle name="좋음 20" xfId="963"/>
    <cellStyle name="좋음 21" xfId="996"/>
    <cellStyle name="좋음 22" xfId="1023"/>
    <cellStyle name="좋음 3" xfId="242"/>
    <cellStyle name="좋음 4" xfId="271"/>
    <cellStyle name="좋음 5" xfId="297"/>
    <cellStyle name="좋음 6" xfId="352"/>
    <cellStyle name="좋음 7" xfId="393"/>
    <cellStyle name="좋음 8" xfId="430"/>
    <cellStyle name="좋음 9" xfId="471"/>
    <cellStyle name="출력 10" xfId="503"/>
    <cellStyle name="출력 11" xfId="585"/>
    <cellStyle name="출력 12" xfId="630"/>
    <cellStyle name="출력 13" xfId="675"/>
    <cellStyle name="출력 14" xfId="720"/>
    <cellStyle name="출력 15" xfId="765"/>
    <cellStyle name="출력 16" xfId="810"/>
    <cellStyle name="출력 17" xfId="852"/>
    <cellStyle name="출력 18" xfId="891"/>
    <cellStyle name="출력 19" xfId="930"/>
    <cellStyle name="출력 2" xfId="123"/>
    <cellStyle name="출력 20" xfId="964"/>
    <cellStyle name="출력 21" xfId="997"/>
    <cellStyle name="출력 22" xfId="1024"/>
    <cellStyle name="출력 3" xfId="243"/>
    <cellStyle name="출력 4" xfId="272"/>
    <cellStyle name="출력 5" xfId="298"/>
    <cellStyle name="출력 6" xfId="353"/>
    <cellStyle name="출력 7" xfId="394"/>
    <cellStyle name="출력 8" xfId="431"/>
    <cellStyle name="출력 9" xfId="472"/>
    <cellStyle name="콤마 [0]_ 견적기준 FLOW " xfId="124"/>
    <cellStyle name="콤마_ 견적기준 FLOW " xfId="125"/>
    <cellStyle name="표준" xfId="0" builtinId="0"/>
    <cellStyle name="표준 10" xfId="400"/>
    <cellStyle name="표준 11" xfId="433"/>
    <cellStyle name="표준 12" xfId="478"/>
    <cellStyle name="표준 14" xfId="591"/>
    <cellStyle name="표준 15" xfId="636"/>
    <cellStyle name="표준 16" xfId="681"/>
    <cellStyle name="표준 17" xfId="726"/>
    <cellStyle name="표준 18" xfId="771"/>
    <cellStyle name="표준 19" xfId="813"/>
    <cellStyle name="표준 2" xfId="1026"/>
    <cellStyle name="표준 2 10" xfId="504"/>
    <cellStyle name="표준 2 11" xfId="588"/>
    <cellStyle name="표준 2 12" xfId="633"/>
    <cellStyle name="표준 2 13" xfId="678"/>
    <cellStyle name="표준 2 14" xfId="723"/>
    <cellStyle name="표준 2 15" xfId="768"/>
    <cellStyle name="표준 2 16" xfId="812"/>
    <cellStyle name="표준 2 17" xfId="854"/>
    <cellStyle name="표준 2 18" xfId="893"/>
    <cellStyle name="표준 2 19" xfId="932"/>
    <cellStyle name="표준 2 2" xfId="126"/>
    <cellStyle name="표준 2 20" xfId="965"/>
    <cellStyle name="표준 2 21" xfId="998"/>
    <cellStyle name="표준 2 22" xfId="1025"/>
    <cellStyle name="표준 2 3" xfId="245"/>
    <cellStyle name="표준 2 4" xfId="273"/>
    <cellStyle name="표준 2 5" xfId="299"/>
    <cellStyle name="표준 2 6" xfId="355"/>
    <cellStyle name="표준 2 7" xfId="397"/>
    <cellStyle name="표준 2 8" xfId="432"/>
    <cellStyle name="표준 2 9" xfId="475"/>
    <cellStyle name="표준 20" xfId="855"/>
    <cellStyle name="표준 21" xfId="894"/>
    <cellStyle name="표준 22" xfId="933"/>
    <cellStyle name="표준 23" xfId="966"/>
    <cellStyle name="표준 24" xfId="999"/>
    <cellStyle name="표준 3" xfId="127"/>
    <cellStyle name="표준 4" xfId="128"/>
    <cellStyle name="표준 5" xfId="129"/>
    <cellStyle name="표준 6" xfId="1114"/>
    <cellStyle name="표준 7" xfId="257"/>
    <cellStyle name="표준 9" xfId="356"/>
    <cellStyle name="표준_지역교육청별재배정내역서(11월분)" xfId="1028"/>
    <cellStyle name="표준_지역교육청별재배정내역서(11월분) 2" xfId="1117"/>
    <cellStyle name="하이퍼링크" xfId="1116" builtinId="8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tabSelected="1" zoomScaleNormal="100" workbookViewId="0">
      <selection sqref="A1:E1"/>
    </sheetView>
  </sheetViews>
  <sheetFormatPr defaultRowHeight="16.5"/>
  <cols>
    <col min="1" max="1" width="6.75" customWidth="1"/>
    <col min="2" max="2" width="11" customWidth="1"/>
    <col min="3" max="3" width="33.875" customWidth="1"/>
    <col min="4" max="4" width="21.25" bestFit="1" customWidth="1"/>
    <col min="5" max="5" width="14.25" bestFit="1" customWidth="1"/>
  </cols>
  <sheetData>
    <row r="1" spans="1:5" ht="34.5" customHeight="1">
      <c r="A1" s="341" t="s">
        <v>112</v>
      </c>
      <c r="B1" s="341"/>
      <c r="C1" s="341"/>
      <c r="D1" s="341"/>
      <c r="E1" s="341"/>
    </row>
    <row r="2" spans="1:5" ht="23.25" customHeight="1">
      <c r="A2" s="67" t="s">
        <v>113</v>
      </c>
      <c r="B2" s="67" t="s">
        <v>115</v>
      </c>
      <c r="C2" s="67" t="s">
        <v>114</v>
      </c>
      <c r="D2" s="67" t="s">
        <v>116</v>
      </c>
      <c r="E2" s="67" t="s">
        <v>117</v>
      </c>
    </row>
    <row r="3" spans="1:5" ht="23.25" customHeight="1">
      <c r="A3" s="76">
        <v>1</v>
      </c>
      <c r="B3" s="76">
        <v>3</v>
      </c>
      <c r="C3" s="77" t="s">
        <v>165</v>
      </c>
      <c r="D3" s="76" t="s">
        <v>189</v>
      </c>
      <c r="E3" s="75"/>
    </row>
    <row r="4" spans="1:5" ht="23.25" customHeight="1">
      <c r="A4" s="76">
        <v>2</v>
      </c>
      <c r="B4" s="76">
        <v>3</v>
      </c>
      <c r="C4" s="77" t="s">
        <v>165</v>
      </c>
      <c r="D4" s="76" t="s">
        <v>191</v>
      </c>
      <c r="E4" s="66"/>
    </row>
    <row r="5" spans="1:5" ht="23.25" customHeight="1">
      <c r="A5" s="76">
        <v>3</v>
      </c>
      <c r="B5" s="64" t="s">
        <v>118</v>
      </c>
      <c r="C5" s="68" t="s">
        <v>119</v>
      </c>
      <c r="D5" s="76" t="s">
        <v>190</v>
      </c>
      <c r="E5" s="66" t="s">
        <v>167</v>
      </c>
    </row>
    <row r="6" spans="1:5" ht="23.25" customHeight="1">
      <c r="A6" s="76">
        <v>4</v>
      </c>
      <c r="B6" s="64" t="s">
        <v>118</v>
      </c>
      <c r="C6" s="68" t="s">
        <v>119</v>
      </c>
      <c r="D6" s="76" t="s">
        <v>189</v>
      </c>
      <c r="E6" s="66" t="s">
        <v>166</v>
      </c>
    </row>
    <row r="7" spans="1:5" ht="23.25" customHeight="1">
      <c r="A7" s="76">
        <v>5</v>
      </c>
      <c r="B7" s="64" t="s">
        <v>118</v>
      </c>
      <c r="C7" s="68" t="s">
        <v>119</v>
      </c>
      <c r="D7" s="76" t="s">
        <v>189</v>
      </c>
      <c r="E7" s="66" t="s">
        <v>120</v>
      </c>
    </row>
    <row r="8" spans="1:5" ht="23.25" customHeight="1">
      <c r="A8" s="76">
        <v>6</v>
      </c>
      <c r="B8" s="65" t="s">
        <v>122</v>
      </c>
      <c r="C8" s="68" t="s">
        <v>121</v>
      </c>
      <c r="D8" s="76" t="s">
        <v>191</v>
      </c>
      <c r="E8" s="66" t="s">
        <v>174</v>
      </c>
    </row>
    <row r="9" spans="1:5" ht="23.25" customHeight="1">
      <c r="A9" s="76">
        <v>7</v>
      </c>
      <c r="B9" s="65" t="s">
        <v>122</v>
      </c>
      <c r="C9" s="68" t="s">
        <v>121</v>
      </c>
      <c r="D9" s="76" t="s">
        <v>191</v>
      </c>
      <c r="E9" s="66" t="s">
        <v>175</v>
      </c>
    </row>
    <row r="10" spans="1:5" ht="23.25" customHeight="1">
      <c r="A10" s="76">
        <v>8</v>
      </c>
      <c r="B10" s="65" t="s">
        <v>122</v>
      </c>
      <c r="C10" s="68" t="s">
        <v>121</v>
      </c>
      <c r="D10" s="76" t="s">
        <v>191</v>
      </c>
      <c r="E10" s="66" t="s">
        <v>120</v>
      </c>
    </row>
    <row r="11" spans="1:5" ht="23.25" customHeight="1">
      <c r="A11" s="76">
        <v>9</v>
      </c>
      <c r="B11" s="65" t="s">
        <v>122</v>
      </c>
      <c r="C11" s="68" t="s">
        <v>123</v>
      </c>
      <c r="D11" s="76" t="s">
        <v>191</v>
      </c>
      <c r="E11" s="66"/>
    </row>
    <row r="12" spans="1:5" ht="23.25" customHeight="1">
      <c r="A12" s="76">
        <v>10</v>
      </c>
      <c r="B12" s="65" t="s">
        <v>125</v>
      </c>
      <c r="C12" s="68" t="s">
        <v>124</v>
      </c>
      <c r="D12" s="76" t="s">
        <v>190</v>
      </c>
      <c r="E12" s="66" t="s">
        <v>168</v>
      </c>
    </row>
    <row r="13" spans="1:5" ht="23.25" customHeight="1">
      <c r="A13" s="76">
        <v>11</v>
      </c>
      <c r="B13" s="65" t="s">
        <v>125</v>
      </c>
      <c r="C13" s="68" t="s">
        <v>124</v>
      </c>
      <c r="D13" s="76" t="s">
        <v>189</v>
      </c>
      <c r="E13" s="66" t="s">
        <v>169</v>
      </c>
    </row>
    <row r="14" spans="1:5" ht="23.25" customHeight="1">
      <c r="A14" s="76">
        <v>12</v>
      </c>
      <c r="B14" s="65" t="s">
        <v>125</v>
      </c>
      <c r="C14" s="68" t="s">
        <v>124</v>
      </c>
      <c r="D14" s="76" t="s">
        <v>189</v>
      </c>
      <c r="E14" s="66" t="s">
        <v>120</v>
      </c>
    </row>
    <row r="15" spans="1:5" ht="23.25" customHeight="1">
      <c r="A15" s="76">
        <v>13</v>
      </c>
      <c r="B15" s="64" t="s">
        <v>126</v>
      </c>
      <c r="C15" s="68" t="s">
        <v>124</v>
      </c>
      <c r="D15" s="76" t="s">
        <v>191</v>
      </c>
      <c r="E15" s="66" t="s">
        <v>177</v>
      </c>
    </row>
    <row r="16" spans="1:5" ht="23.25" customHeight="1">
      <c r="A16" s="76">
        <v>13</v>
      </c>
      <c r="B16" s="64" t="s">
        <v>126</v>
      </c>
      <c r="C16" s="68" t="s">
        <v>124</v>
      </c>
      <c r="D16" s="76" t="s">
        <v>191</v>
      </c>
      <c r="E16" s="66" t="s">
        <v>166</v>
      </c>
    </row>
    <row r="17" spans="1:5" ht="23.25" customHeight="1">
      <c r="A17" s="76">
        <v>14</v>
      </c>
      <c r="B17" s="64" t="s">
        <v>126</v>
      </c>
      <c r="C17" s="68" t="s">
        <v>124</v>
      </c>
      <c r="D17" s="76" t="s">
        <v>191</v>
      </c>
      <c r="E17" s="66" t="s">
        <v>120</v>
      </c>
    </row>
    <row r="18" spans="1:5" ht="23.25" customHeight="1">
      <c r="A18" s="76">
        <v>15</v>
      </c>
      <c r="B18" s="64" t="s">
        <v>126</v>
      </c>
      <c r="C18" s="68" t="s">
        <v>299</v>
      </c>
      <c r="D18" s="76" t="s">
        <v>191</v>
      </c>
      <c r="E18" s="66" t="s">
        <v>297</v>
      </c>
    </row>
    <row r="19" spans="1:5" ht="23.25" customHeight="1">
      <c r="A19" s="76">
        <v>16</v>
      </c>
      <c r="B19" s="64" t="s">
        <v>126</v>
      </c>
      <c r="C19" s="68" t="s">
        <v>300</v>
      </c>
      <c r="D19" s="76" t="s">
        <v>191</v>
      </c>
      <c r="E19" s="66" t="s">
        <v>298</v>
      </c>
    </row>
    <row r="20" spans="1:5" ht="23.25" customHeight="1">
      <c r="A20" s="76">
        <v>17</v>
      </c>
      <c r="B20" s="64" t="s">
        <v>221</v>
      </c>
      <c r="C20" s="68" t="s">
        <v>224</v>
      </c>
      <c r="D20" s="76" t="s">
        <v>222</v>
      </c>
      <c r="E20" s="66" t="s">
        <v>223</v>
      </c>
    </row>
    <row r="21" spans="1:5" ht="23.25" customHeight="1">
      <c r="A21" s="76">
        <v>18</v>
      </c>
      <c r="B21" s="64" t="s">
        <v>127</v>
      </c>
      <c r="C21" s="68" t="s">
        <v>128</v>
      </c>
      <c r="D21" s="76" t="s">
        <v>190</v>
      </c>
      <c r="E21" s="66" t="s">
        <v>171</v>
      </c>
    </row>
    <row r="22" spans="1:5" ht="23.25" customHeight="1">
      <c r="A22" s="76">
        <v>19</v>
      </c>
      <c r="B22" s="64" t="s">
        <v>127</v>
      </c>
      <c r="C22" s="68" t="s">
        <v>128</v>
      </c>
      <c r="D22" s="76" t="s">
        <v>189</v>
      </c>
      <c r="E22" s="66" t="s">
        <v>170</v>
      </c>
    </row>
    <row r="23" spans="1:5" ht="23.25" customHeight="1">
      <c r="A23" s="76">
        <v>20</v>
      </c>
      <c r="B23" s="64" t="s">
        <v>127</v>
      </c>
      <c r="C23" s="68" t="s">
        <v>128</v>
      </c>
      <c r="D23" s="76" t="s">
        <v>189</v>
      </c>
      <c r="E23" s="66" t="s">
        <v>120</v>
      </c>
    </row>
    <row r="24" spans="1:5" ht="23.25" customHeight="1">
      <c r="A24" s="76">
        <v>21</v>
      </c>
      <c r="B24" s="64" t="s">
        <v>129</v>
      </c>
      <c r="C24" s="68" t="s">
        <v>128</v>
      </c>
      <c r="D24" s="76" t="s">
        <v>191</v>
      </c>
      <c r="E24" s="66"/>
    </row>
    <row r="25" spans="1:5" ht="23.25" customHeight="1">
      <c r="A25" s="76">
        <v>22</v>
      </c>
      <c r="B25" s="64" t="s">
        <v>129</v>
      </c>
      <c r="C25" s="68" t="s">
        <v>130</v>
      </c>
      <c r="D25" s="76" t="s">
        <v>191</v>
      </c>
      <c r="E25" s="66"/>
    </row>
    <row r="27" spans="1:5">
      <c r="A27" s="69" t="s">
        <v>63</v>
      </c>
    </row>
  </sheetData>
  <mergeCells count="1">
    <mergeCell ref="A1:E1"/>
  </mergeCells>
  <phoneticPr fontId="35" type="noConversion"/>
  <hyperlinks>
    <hyperlink ref="C25" location="'서식4-6(내역서)'!A1" display="계약제교원 보험료 세부내역서"/>
    <hyperlink ref="C24" location="'서식4-6'!A1" display="계약제교원 보험료 요구내역서"/>
    <hyperlink ref="C23" location="'서식4-5(중,고)'!A1" display="계약제교원 보험료 요구내역서"/>
    <hyperlink ref="C22" location="'서식4-5(초,특수)'!A1" display="계약제교원 보험료 요구내역서"/>
    <hyperlink ref="C21" location="'서식4-5(유)'!A1" display="계약제교원 보험료 요구내역서"/>
    <hyperlink ref="C18" location="'서식4-4(내역서_평균임금)'!A1" display="개인별 퇴직금 산정 내역서"/>
    <hyperlink ref="C17" location="'서식4-4(중,고)_학교'!A1" display="계약제교원 퇴직금 요구내역서"/>
    <hyperlink ref="C15" location="'서식4-4(유)_학교'!A1" display="계약제교원 퇴직금 요구내역서"/>
    <hyperlink ref="C14" location="'서식4-3(중,고)'!A1" display="계약제교원 퇴직금 요구내역서"/>
    <hyperlink ref="C13" location="'서식4-3(초,특수)'!A1" display="계약제교원 퇴직금 요구내역서"/>
    <hyperlink ref="C12" location="'서식4-3(유)'!A1" display="계약제교원 퇴직금 요구내역서"/>
    <hyperlink ref="C11" location="'서식4-2(내역서)'!A1" display="결원대체강사 수당 세부내역서"/>
    <hyperlink ref="C10" location="'서식4-2(중,고)'!A1" display="결원대체강사 수당 요구내역서"/>
    <hyperlink ref="C8" location="'서식4-2(유)'!A1" display="결원대체강사 수당 요구내역서"/>
    <hyperlink ref="C7" location="'서식4-1(중,고)'!A1" display="계약제교원 인건비 요구내역서"/>
    <hyperlink ref="C3" location="서식3!A1" display="계약제교원 임용 현황"/>
    <hyperlink ref="C4" location="서식3_학교!A1" display="계약제교원 임용 현황"/>
    <hyperlink ref="C6" location="'서식4-1(초,특수)'!A1" display="계약제교원 인건비 요구내역서"/>
    <hyperlink ref="C5" location="'서식4-1(유)'!A1" display="계약제교원 인건비 요구내역서"/>
    <hyperlink ref="C9" location="'서식4-2(초,특수)'!A1" display="결원대체강사 수당 요구내역서"/>
    <hyperlink ref="C16" location="'서식4-4(초,특수)_학교'!A1" display="계약제교원 퇴직금 요구내역서"/>
    <hyperlink ref="C20" location="'별도서식(퇴직금 지급대장)'!A1" display="퇴직금 지급 대장"/>
    <hyperlink ref="C19" location="'서식4-4(내역서_통상임금)'!A1" display="개인별 퇴직금 산정 내역서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V17"/>
  <sheetViews>
    <sheetView zoomScale="85" zoomScaleNormal="85" workbookViewId="0">
      <selection activeCell="A2" sqref="A2"/>
    </sheetView>
  </sheetViews>
  <sheetFormatPr defaultRowHeight="16.5"/>
  <cols>
    <col min="1" max="1" width="5.25" bestFit="1" customWidth="1"/>
    <col min="2" max="3" width="7.125" bestFit="1" customWidth="1"/>
    <col min="20" max="20" width="10.625" bestFit="1" customWidth="1"/>
  </cols>
  <sheetData>
    <row r="1" spans="1:22" ht="20.25">
      <c r="A1" s="345" t="s">
        <v>235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  <c r="S1" s="345"/>
      <c r="T1" s="345"/>
      <c r="U1" s="345"/>
    </row>
    <row r="3" spans="1:22">
      <c r="A3" s="342" t="s">
        <v>158</v>
      </c>
      <c r="B3" s="342" t="s">
        <v>159</v>
      </c>
      <c r="C3" s="342" t="s">
        <v>160</v>
      </c>
      <c r="D3" s="346" t="s">
        <v>131</v>
      </c>
      <c r="E3" s="348" t="s">
        <v>157</v>
      </c>
      <c r="F3" s="348"/>
      <c r="G3" s="348"/>
      <c r="H3" s="348"/>
      <c r="I3" s="348"/>
      <c r="J3" s="348"/>
      <c r="K3" s="349" t="s">
        <v>133</v>
      </c>
      <c r="L3" s="350"/>
      <c r="M3" s="350"/>
      <c r="N3" s="350"/>
      <c r="O3" s="350"/>
      <c r="P3" s="350"/>
      <c r="Q3" s="350"/>
      <c r="R3" s="350"/>
      <c r="S3" s="350"/>
      <c r="T3" s="350"/>
      <c r="U3" s="350"/>
      <c r="V3" s="351"/>
    </row>
    <row r="4" spans="1:22" ht="49.5">
      <c r="A4" s="343"/>
      <c r="B4" s="343"/>
      <c r="C4" s="343"/>
      <c r="D4" s="347"/>
      <c r="E4" s="81" t="s">
        <v>134</v>
      </c>
      <c r="F4" s="81" t="s">
        <v>135</v>
      </c>
      <c r="G4" s="81" t="s">
        <v>136</v>
      </c>
      <c r="H4" s="81" t="s">
        <v>137</v>
      </c>
      <c r="I4" s="81" t="s">
        <v>138</v>
      </c>
      <c r="J4" s="81" t="s">
        <v>139</v>
      </c>
      <c r="K4" s="81" t="s">
        <v>135</v>
      </c>
      <c r="L4" s="81" t="s">
        <v>140</v>
      </c>
      <c r="M4" s="81" t="s">
        <v>136</v>
      </c>
      <c r="N4" s="81" t="s">
        <v>137</v>
      </c>
      <c r="O4" s="81" t="s">
        <v>141</v>
      </c>
      <c r="P4" s="81" t="s">
        <v>142</v>
      </c>
      <c r="Q4" s="81" t="s">
        <v>143</v>
      </c>
      <c r="R4" s="82" t="s">
        <v>144</v>
      </c>
      <c r="S4" s="83" t="s">
        <v>145</v>
      </c>
      <c r="T4" s="83" t="s">
        <v>146</v>
      </c>
      <c r="U4" s="83" t="s">
        <v>147</v>
      </c>
      <c r="V4" s="83" t="s">
        <v>192</v>
      </c>
    </row>
    <row r="5" spans="1:22" ht="54" customHeight="1">
      <c r="A5" s="70" t="s">
        <v>163</v>
      </c>
      <c r="B5" s="70" t="s">
        <v>162</v>
      </c>
      <c r="C5" s="70" t="s">
        <v>161</v>
      </c>
      <c r="D5" s="70" t="s">
        <v>154</v>
      </c>
      <c r="E5" s="72"/>
      <c r="F5" s="72"/>
      <c r="G5" s="72"/>
      <c r="H5" s="72"/>
      <c r="I5" s="72"/>
      <c r="J5" s="71" t="s">
        <v>148</v>
      </c>
      <c r="K5" s="72"/>
      <c r="L5" s="72"/>
      <c r="M5" s="72"/>
      <c r="N5" s="72"/>
      <c r="O5" s="71" t="s">
        <v>179</v>
      </c>
      <c r="P5" s="72"/>
      <c r="Q5" s="71" t="s">
        <v>148</v>
      </c>
      <c r="R5" s="73" t="s">
        <v>178</v>
      </c>
      <c r="S5" s="70" t="s">
        <v>151</v>
      </c>
      <c r="T5" s="70" t="s">
        <v>152</v>
      </c>
      <c r="U5" s="70" t="s">
        <v>152</v>
      </c>
      <c r="V5" s="70"/>
    </row>
    <row r="7" spans="1:22">
      <c r="A7" t="s">
        <v>155</v>
      </c>
    </row>
    <row r="8" spans="1:22">
      <c r="A8" s="84" t="s">
        <v>185</v>
      </c>
    </row>
    <row r="9" spans="1:22">
      <c r="A9" t="s">
        <v>180</v>
      </c>
    </row>
    <row r="10" spans="1:22">
      <c r="A10" t="s">
        <v>181</v>
      </c>
    </row>
    <row r="11" spans="1:22">
      <c r="A11" t="s">
        <v>182</v>
      </c>
    </row>
    <row r="12" spans="1:22">
      <c r="A12" s="74" t="s">
        <v>183</v>
      </c>
      <c r="B12" s="74"/>
      <c r="C12" s="74"/>
      <c r="D12" s="74"/>
      <c r="E12" s="74"/>
      <c r="F12" s="74"/>
      <c r="G12" s="74"/>
      <c r="H12" s="74"/>
      <c r="I12" s="74"/>
      <c r="J12" s="74"/>
    </row>
    <row r="13" spans="1:22" ht="16.5" customHeight="1">
      <c r="A13" s="344" t="s">
        <v>187</v>
      </c>
      <c r="B13" s="344"/>
      <c r="C13" s="344"/>
      <c r="D13" s="344"/>
      <c r="E13" s="344"/>
      <c r="F13" s="344"/>
      <c r="G13" s="344"/>
      <c r="H13" s="344"/>
      <c r="I13" s="344"/>
      <c r="J13" s="344"/>
    </row>
    <row r="14" spans="1:22">
      <c r="A14" s="41" t="s">
        <v>197</v>
      </c>
    </row>
    <row r="15" spans="1:22">
      <c r="A15" s="88" t="s">
        <v>229</v>
      </c>
    </row>
    <row r="16" spans="1:22">
      <c r="A16" s="84" t="s">
        <v>196</v>
      </c>
    </row>
    <row r="17" spans="1:1">
      <c r="A17" s="88"/>
    </row>
  </sheetData>
  <mergeCells count="8">
    <mergeCell ref="B3:B4"/>
    <mergeCell ref="A3:A4"/>
    <mergeCell ref="A13:J13"/>
    <mergeCell ref="A1:U1"/>
    <mergeCell ref="D3:D4"/>
    <mergeCell ref="E3:J3"/>
    <mergeCell ref="C3:C4"/>
    <mergeCell ref="K3:V3"/>
  </mergeCells>
  <phoneticPr fontId="35" type="noConversion"/>
  <pageMargins left="0.7" right="0.7" top="0.75" bottom="0.75" header="0.3" footer="0.3"/>
  <pageSetup paperSize="9" scale="65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S14"/>
  <sheetViews>
    <sheetView zoomScale="85" zoomScaleNormal="85" workbookViewId="0">
      <selection sqref="A1:R1"/>
    </sheetView>
  </sheetViews>
  <sheetFormatPr defaultRowHeight="16.5"/>
  <cols>
    <col min="1" max="1" width="10.875" customWidth="1"/>
    <col min="17" max="17" width="10.625" bestFit="1" customWidth="1"/>
  </cols>
  <sheetData>
    <row r="1" spans="1:19" ht="20.25">
      <c r="A1" s="345" t="s">
        <v>153</v>
      </c>
      <c r="B1" s="345"/>
      <c r="C1" s="345"/>
      <c r="D1" s="345"/>
      <c r="E1" s="345"/>
      <c r="F1" s="345"/>
      <c r="G1" s="345"/>
      <c r="H1" s="345"/>
      <c r="I1" s="345"/>
      <c r="J1" s="345"/>
      <c r="K1" s="345"/>
      <c r="L1" s="345"/>
      <c r="M1" s="345"/>
      <c r="N1" s="345"/>
      <c r="O1" s="345"/>
      <c r="P1" s="345"/>
      <c r="Q1" s="345"/>
      <c r="R1" s="345"/>
    </row>
    <row r="3" spans="1:19">
      <c r="A3" s="352" t="s">
        <v>164</v>
      </c>
      <c r="B3" s="354" t="s">
        <v>132</v>
      </c>
      <c r="C3" s="354"/>
      <c r="D3" s="354"/>
      <c r="E3" s="354"/>
      <c r="F3" s="354"/>
      <c r="G3" s="354"/>
      <c r="H3" s="355" t="s">
        <v>133</v>
      </c>
      <c r="I3" s="356"/>
      <c r="J3" s="356"/>
      <c r="K3" s="356"/>
      <c r="L3" s="356"/>
      <c r="M3" s="356"/>
      <c r="N3" s="356"/>
      <c r="O3" s="356"/>
      <c r="P3" s="356"/>
      <c r="Q3" s="356"/>
      <c r="R3" s="356"/>
      <c r="S3" s="351"/>
    </row>
    <row r="4" spans="1:19" ht="49.5">
      <c r="A4" s="353"/>
      <c r="B4" s="78" t="s">
        <v>134</v>
      </c>
      <c r="C4" s="78" t="s">
        <v>135</v>
      </c>
      <c r="D4" s="78" t="s">
        <v>136</v>
      </c>
      <c r="E4" s="78" t="s">
        <v>137</v>
      </c>
      <c r="F4" s="78" t="s">
        <v>138</v>
      </c>
      <c r="G4" s="78" t="s">
        <v>139</v>
      </c>
      <c r="H4" s="78" t="s">
        <v>135</v>
      </c>
      <c r="I4" s="78" t="s">
        <v>140</v>
      </c>
      <c r="J4" s="78" t="s">
        <v>136</v>
      </c>
      <c r="K4" s="78" t="s">
        <v>137</v>
      </c>
      <c r="L4" s="78" t="s">
        <v>141</v>
      </c>
      <c r="M4" s="78" t="s">
        <v>142</v>
      </c>
      <c r="N4" s="78" t="s">
        <v>143</v>
      </c>
      <c r="O4" s="79" t="s">
        <v>144</v>
      </c>
      <c r="P4" s="80" t="s">
        <v>145</v>
      </c>
      <c r="Q4" s="80" t="s">
        <v>146</v>
      </c>
      <c r="R4" s="80" t="s">
        <v>147</v>
      </c>
      <c r="S4" s="80" t="s">
        <v>192</v>
      </c>
    </row>
    <row r="5" spans="1:19" ht="54" customHeight="1">
      <c r="A5" s="70" t="s">
        <v>154</v>
      </c>
      <c r="B5" s="72"/>
      <c r="C5" s="72"/>
      <c r="D5" s="72"/>
      <c r="E5" s="72"/>
      <c r="F5" s="72"/>
      <c r="G5" s="71" t="s">
        <v>148</v>
      </c>
      <c r="H5" s="72"/>
      <c r="I5" s="72"/>
      <c r="J5" s="72"/>
      <c r="K5" s="72"/>
      <c r="L5" s="71" t="s">
        <v>149</v>
      </c>
      <c r="M5" s="72"/>
      <c r="N5" s="71" t="s">
        <v>148</v>
      </c>
      <c r="O5" s="73" t="s">
        <v>150</v>
      </c>
      <c r="P5" s="70" t="s">
        <v>151</v>
      </c>
      <c r="Q5" s="70" t="s">
        <v>156</v>
      </c>
      <c r="R5" s="70" t="s">
        <v>152</v>
      </c>
      <c r="S5" s="70"/>
    </row>
    <row r="7" spans="1:19">
      <c r="A7" t="s">
        <v>155</v>
      </c>
    </row>
    <row r="8" spans="1:19">
      <c r="A8" s="84" t="s">
        <v>188</v>
      </c>
    </row>
    <row r="9" spans="1:19">
      <c r="A9" t="s">
        <v>200</v>
      </c>
    </row>
    <row r="10" spans="1:19">
      <c r="A10" t="s">
        <v>181</v>
      </c>
    </row>
    <row r="11" spans="1:19">
      <c r="A11" t="s">
        <v>182</v>
      </c>
    </row>
    <row r="12" spans="1:19">
      <c r="A12" s="74" t="s">
        <v>183</v>
      </c>
      <c r="B12" s="74"/>
      <c r="C12" s="74"/>
      <c r="D12" s="74"/>
      <c r="E12" s="74"/>
      <c r="F12" s="74"/>
      <c r="G12" s="74"/>
      <c r="H12" s="74"/>
      <c r="I12" s="74"/>
      <c r="J12" s="74"/>
    </row>
    <row r="13" spans="1:19" ht="16.5" customHeight="1">
      <c r="A13" s="344" t="s">
        <v>186</v>
      </c>
      <c r="B13" s="344"/>
      <c r="C13" s="344"/>
      <c r="D13" s="344"/>
      <c r="E13" s="344"/>
      <c r="F13" s="344"/>
      <c r="G13" s="344"/>
      <c r="H13" s="344"/>
      <c r="I13" s="344"/>
      <c r="J13" s="344"/>
    </row>
    <row r="14" spans="1:19">
      <c r="A14" s="84" t="s">
        <v>184</v>
      </c>
    </row>
  </sheetData>
  <mergeCells count="5">
    <mergeCell ref="A13:J13"/>
    <mergeCell ref="A3:A4"/>
    <mergeCell ref="B3:G3"/>
    <mergeCell ref="A1:R1"/>
    <mergeCell ref="H3:S3"/>
  </mergeCells>
  <phoneticPr fontId="35" type="noConversion"/>
  <pageMargins left="0.7" right="0.7" top="0.75" bottom="0.75" header="0.3" footer="0.3"/>
  <pageSetup paperSize="9" scale="7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</sheetPr>
  <dimension ref="A1:X33"/>
  <sheetViews>
    <sheetView showGridLines="0" zoomScale="85" zoomScaleNormal="85" zoomScaleSheetLayoutView="85" workbookViewId="0">
      <selection sqref="A1:S1"/>
    </sheetView>
  </sheetViews>
  <sheetFormatPr defaultRowHeight="16.5"/>
  <cols>
    <col min="1" max="1" width="3.5" bestFit="1" customWidth="1"/>
    <col min="2" max="2" width="5.875" customWidth="1"/>
    <col min="3" max="3" width="9.875" bestFit="1" customWidth="1"/>
    <col min="4" max="4" width="8.875" customWidth="1"/>
    <col min="5" max="5" width="9.875" customWidth="1"/>
    <col min="6" max="6" width="10.625" customWidth="1"/>
    <col min="7" max="7" width="15.375" customWidth="1"/>
    <col min="8" max="9" width="10.625" customWidth="1"/>
    <col min="10" max="10" width="12.125" bestFit="1" customWidth="1"/>
    <col min="11" max="11" width="11.5" customWidth="1"/>
    <col min="12" max="16" width="10.625" customWidth="1"/>
    <col min="17" max="17" width="13.625" customWidth="1"/>
    <col min="18" max="18" width="10.625" customWidth="1"/>
    <col min="19" max="19" width="13.625" customWidth="1"/>
    <col min="20" max="20" width="8.125" style="168" customWidth="1"/>
    <col min="21" max="21" width="10.375" bestFit="1" customWidth="1"/>
    <col min="22" max="22" width="14.75" customWidth="1"/>
  </cols>
  <sheetData>
    <row r="1" spans="1:23" ht="29.25" customHeight="1">
      <c r="A1" s="361" t="s">
        <v>250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</row>
    <row r="2" spans="1:23" ht="9.75" customHeight="1">
      <c r="A2" s="159"/>
      <c r="B2" s="159"/>
      <c r="C2" s="159"/>
      <c r="D2" s="159"/>
      <c r="E2" s="159"/>
      <c r="F2" s="159"/>
      <c r="G2" s="169"/>
      <c r="H2" s="169"/>
      <c r="I2" s="169"/>
      <c r="J2" s="170"/>
      <c r="K2" s="171"/>
      <c r="L2" s="159"/>
      <c r="M2" s="159"/>
      <c r="N2" s="159"/>
      <c r="O2" s="159"/>
      <c r="P2" s="159"/>
      <c r="Q2" s="159"/>
      <c r="R2" s="159"/>
      <c r="S2" s="159"/>
    </row>
    <row r="3" spans="1:23">
      <c r="A3" s="172"/>
      <c r="B3" s="172"/>
      <c r="C3" s="172"/>
      <c r="D3" s="172"/>
      <c r="E3" s="172"/>
      <c r="F3" s="172"/>
      <c r="G3" s="172"/>
      <c r="H3" s="172"/>
      <c r="I3" s="172"/>
      <c r="J3" s="16"/>
      <c r="K3" s="16"/>
      <c r="L3" s="16"/>
      <c r="M3" s="16"/>
      <c r="N3" s="16"/>
      <c r="O3" s="17"/>
      <c r="P3" s="18"/>
      <c r="Q3" s="16"/>
      <c r="S3" s="38" t="s">
        <v>32</v>
      </c>
      <c r="U3" s="173"/>
      <c r="V3" s="173"/>
    </row>
    <row r="4" spans="1:23" s="175" customFormat="1" ht="24.75" customHeight="1">
      <c r="A4" s="365" t="s">
        <v>0</v>
      </c>
      <c r="B4" s="365" t="s">
        <v>1</v>
      </c>
      <c r="C4" s="365" t="s">
        <v>230</v>
      </c>
      <c r="D4" s="365" t="s">
        <v>195</v>
      </c>
      <c r="E4" s="365" t="s">
        <v>193</v>
      </c>
      <c r="F4" s="362" t="s">
        <v>34</v>
      </c>
      <c r="G4" s="362"/>
      <c r="H4" s="362"/>
      <c r="I4" s="362"/>
      <c r="J4" s="362"/>
      <c r="K4" s="360" t="s">
        <v>231</v>
      </c>
      <c r="L4" s="360"/>
      <c r="M4" s="360"/>
      <c r="N4" s="360"/>
      <c r="O4" s="360"/>
      <c r="P4" s="360"/>
      <c r="Q4" s="360"/>
      <c r="R4" s="363" t="s">
        <v>2</v>
      </c>
      <c r="S4" s="364" t="s">
        <v>232</v>
      </c>
      <c r="T4" s="174"/>
    </row>
    <row r="5" spans="1:23" s="175" customFormat="1" ht="24.75" customHeight="1">
      <c r="A5" s="365"/>
      <c r="B5" s="365"/>
      <c r="C5" s="365"/>
      <c r="D5" s="365"/>
      <c r="E5" s="365"/>
      <c r="F5" s="366" t="s">
        <v>263</v>
      </c>
      <c r="G5" s="366"/>
      <c r="H5" s="362" t="s">
        <v>264</v>
      </c>
      <c r="I5" s="362"/>
      <c r="J5" s="362" t="s">
        <v>6</v>
      </c>
      <c r="K5" s="360" t="s">
        <v>233</v>
      </c>
      <c r="L5" s="360"/>
      <c r="M5" s="360" t="s">
        <v>31</v>
      </c>
      <c r="N5" s="360"/>
      <c r="O5" s="360" t="s">
        <v>4</v>
      </c>
      <c r="P5" s="360"/>
      <c r="Q5" s="360" t="s">
        <v>234</v>
      </c>
      <c r="R5" s="363"/>
      <c r="S5" s="364"/>
      <c r="T5" s="174"/>
    </row>
    <row r="6" spans="1:23" s="175" customFormat="1" ht="20.25" customHeight="1">
      <c r="A6" s="365"/>
      <c r="B6" s="365"/>
      <c r="C6" s="365"/>
      <c r="D6" s="365"/>
      <c r="E6" s="365"/>
      <c r="F6" s="176" t="s">
        <v>28</v>
      </c>
      <c r="G6" s="177" t="s">
        <v>9</v>
      </c>
      <c r="H6" s="178" t="s">
        <v>28</v>
      </c>
      <c r="I6" s="179" t="s">
        <v>9</v>
      </c>
      <c r="J6" s="362"/>
      <c r="K6" s="180" t="s">
        <v>8</v>
      </c>
      <c r="L6" s="180" t="s">
        <v>9</v>
      </c>
      <c r="M6" s="180" t="s">
        <v>8</v>
      </c>
      <c r="N6" s="180" t="s">
        <v>9</v>
      </c>
      <c r="O6" s="180" t="s">
        <v>8</v>
      </c>
      <c r="P6" s="180" t="s">
        <v>9</v>
      </c>
      <c r="Q6" s="360"/>
      <c r="R6" s="363"/>
      <c r="S6" s="364"/>
      <c r="T6" s="174"/>
      <c r="U6" s="173"/>
      <c r="V6" s="173"/>
      <c r="W6" s="181"/>
    </row>
    <row r="7" spans="1:23" s="175" customFormat="1" ht="20.25" customHeight="1">
      <c r="A7" s="109">
        <v>1</v>
      </c>
      <c r="B7" s="109" t="s">
        <v>10</v>
      </c>
      <c r="C7" s="109"/>
      <c r="D7" s="109"/>
      <c r="E7" s="109"/>
      <c r="F7" s="110"/>
      <c r="G7" s="111"/>
      <c r="H7" s="111"/>
      <c r="I7" s="111"/>
      <c r="J7" s="112">
        <f>G7+I7</f>
        <v>0</v>
      </c>
      <c r="K7" s="111"/>
      <c r="L7" s="111"/>
      <c r="M7" s="111"/>
      <c r="N7" s="111"/>
      <c r="O7" s="111"/>
      <c r="P7" s="111"/>
      <c r="Q7" s="113">
        <f>L7+N7+P7</f>
        <v>0</v>
      </c>
      <c r="R7" s="114">
        <f>F7+K7+M7+O7+H7</f>
        <v>0</v>
      </c>
      <c r="S7" s="114">
        <f t="shared" ref="S7:S25" si="0">J7+Q7</f>
        <v>0</v>
      </c>
      <c r="T7" s="174"/>
      <c r="U7" s="173"/>
      <c r="V7" s="173"/>
      <c r="W7" s="181"/>
    </row>
    <row r="8" spans="1:23" ht="20.25" customHeight="1">
      <c r="A8" s="109">
        <v>2</v>
      </c>
      <c r="B8" s="109" t="s">
        <v>11</v>
      </c>
      <c r="C8" s="109"/>
      <c r="D8" s="109"/>
      <c r="E8" s="109"/>
      <c r="F8" s="182"/>
      <c r="G8" s="183"/>
      <c r="H8" s="183"/>
      <c r="I8" s="183"/>
      <c r="J8" s="112">
        <f t="shared" ref="J8:J24" si="1">G8+I8</f>
        <v>0</v>
      </c>
      <c r="K8" s="111"/>
      <c r="L8" s="111"/>
      <c r="M8" s="111"/>
      <c r="N8" s="111"/>
      <c r="O8" s="111"/>
      <c r="P8" s="111"/>
      <c r="Q8" s="113">
        <f t="shared" ref="Q8:Q25" si="2">L8+N8+P8</f>
        <v>0</v>
      </c>
      <c r="R8" s="114">
        <f t="shared" ref="R8:R25" si="3">F8+K8+M8+O8+H8</f>
        <v>0</v>
      </c>
      <c r="S8" s="114">
        <f t="shared" si="0"/>
        <v>0</v>
      </c>
      <c r="U8" s="184"/>
      <c r="V8" s="184"/>
      <c r="W8" s="181"/>
    </row>
    <row r="9" spans="1:23" ht="20.25" customHeight="1">
      <c r="A9" s="109">
        <v>3</v>
      </c>
      <c r="B9" s="185" t="s">
        <v>12</v>
      </c>
      <c r="C9" s="186"/>
      <c r="D9" s="186"/>
      <c r="E9" s="186"/>
      <c r="F9" s="110"/>
      <c r="G9" s="111"/>
      <c r="H9" s="111"/>
      <c r="I9" s="111"/>
      <c r="J9" s="112">
        <f t="shared" si="1"/>
        <v>0</v>
      </c>
      <c r="K9" s="111"/>
      <c r="L9" s="111"/>
      <c r="M9" s="111"/>
      <c r="N9" s="111"/>
      <c r="O9" s="111"/>
      <c r="P9" s="111"/>
      <c r="Q9" s="113">
        <f t="shared" si="2"/>
        <v>0</v>
      </c>
      <c r="R9" s="114">
        <f t="shared" si="3"/>
        <v>0</v>
      </c>
      <c r="S9" s="114">
        <f t="shared" si="0"/>
        <v>0</v>
      </c>
      <c r="T9" s="174"/>
      <c r="U9" s="184"/>
      <c r="V9" s="184"/>
      <c r="W9" s="181"/>
    </row>
    <row r="10" spans="1:23" ht="20.25" customHeight="1">
      <c r="A10" s="109">
        <v>4</v>
      </c>
      <c r="B10" s="109" t="s">
        <v>13</v>
      </c>
      <c r="C10" s="109"/>
      <c r="D10" s="109"/>
      <c r="E10" s="109"/>
      <c r="F10" s="110"/>
      <c r="G10" s="111"/>
      <c r="H10" s="111"/>
      <c r="I10" s="111"/>
      <c r="J10" s="112">
        <f t="shared" si="1"/>
        <v>0</v>
      </c>
      <c r="K10" s="111"/>
      <c r="L10" s="111"/>
      <c r="M10" s="111"/>
      <c r="N10" s="111"/>
      <c r="O10" s="111"/>
      <c r="P10" s="111"/>
      <c r="Q10" s="113">
        <f t="shared" si="2"/>
        <v>0</v>
      </c>
      <c r="R10" s="114">
        <f t="shared" si="3"/>
        <v>0</v>
      </c>
      <c r="S10" s="114">
        <f t="shared" si="0"/>
        <v>0</v>
      </c>
      <c r="U10" s="184"/>
      <c r="V10" s="184"/>
      <c r="W10" s="181"/>
    </row>
    <row r="11" spans="1:23" s="175" customFormat="1" ht="20.25" customHeight="1">
      <c r="A11" s="109">
        <v>5</v>
      </c>
      <c r="B11" s="115" t="s">
        <v>14</v>
      </c>
      <c r="C11" s="109"/>
      <c r="D11" s="109"/>
      <c r="E11" s="109"/>
      <c r="F11" s="110"/>
      <c r="G11" s="111"/>
      <c r="H11" s="111"/>
      <c r="I11" s="111"/>
      <c r="J11" s="112">
        <f t="shared" si="1"/>
        <v>0</v>
      </c>
      <c r="K11" s="111"/>
      <c r="L11" s="111"/>
      <c r="M11" s="111"/>
      <c r="N11" s="111"/>
      <c r="O11" s="111"/>
      <c r="P11" s="111"/>
      <c r="Q11" s="113">
        <f t="shared" si="2"/>
        <v>0</v>
      </c>
      <c r="R11" s="114">
        <f t="shared" si="3"/>
        <v>0</v>
      </c>
      <c r="S11" s="114">
        <f t="shared" si="0"/>
        <v>0</v>
      </c>
      <c r="T11" s="174"/>
      <c r="U11" s="181"/>
      <c r="V11" s="181"/>
      <c r="W11" s="181"/>
    </row>
    <row r="12" spans="1:23" ht="20.25" customHeight="1">
      <c r="A12" s="109">
        <v>6</v>
      </c>
      <c r="B12" s="109" t="s">
        <v>15</v>
      </c>
      <c r="C12" s="109"/>
      <c r="D12" s="109"/>
      <c r="E12" s="109"/>
      <c r="F12" s="110"/>
      <c r="G12" s="111"/>
      <c r="H12" s="111"/>
      <c r="I12" s="111"/>
      <c r="J12" s="112">
        <f t="shared" si="1"/>
        <v>0</v>
      </c>
      <c r="K12" s="111"/>
      <c r="L12" s="111"/>
      <c r="M12" s="111"/>
      <c r="N12" s="111"/>
      <c r="O12" s="111"/>
      <c r="P12" s="111"/>
      <c r="Q12" s="113">
        <f t="shared" si="2"/>
        <v>0</v>
      </c>
      <c r="R12" s="114">
        <f t="shared" si="3"/>
        <v>0</v>
      </c>
      <c r="S12" s="114">
        <f t="shared" si="0"/>
        <v>0</v>
      </c>
      <c r="U12" s="184"/>
      <c r="V12" s="184"/>
      <c r="W12" s="181"/>
    </row>
    <row r="13" spans="1:23" s="175" customFormat="1" ht="20.25" customHeight="1">
      <c r="A13" s="109">
        <v>7</v>
      </c>
      <c r="B13" s="115" t="s">
        <v>16</v>
      </c>
      <c r="C13" s="109"/>
      <c r="D13" s="109"/>
      <c r="E13" s="109"/>
      <c r="F13" s="110"/>
      <c r="G13" s="111"/>
      <c r="H13" s="111"/>
      <c r="I13" s="111"/>
      <c r="J13" s="112">
        <f t="shared" si="1"/>
        <v>0</v>
      </c>
      <c r="K13" s="111"/>
      <c r="L13" s="111"/>
      <c r="M13" s="111"/>
      <c r="N13" s="183"/>
      <c r="O13" s="111"/>
      <c r="P13" s="111"/>
      <c r="Q13" s="113">
        <f t="shared" si="2"/>
        <v>0</v>
      </c>
      <c r="R13" s="114">
        <f t="shared" si="3"/>
        <v>0</v>
      </c>
      <c r="S13" s="114">
        <f t="shared" si="0"/>
        <v>0</v>
      </c>
      <c r="T13" s="174"/>
      <c r="U13" s="181"/>
      <c r="V13" s="181"/>
      <c r="W13" s="181"/>
    </row>
    <row r="14" spans="1:23" ht="20.25" customHeight="1">
      <c r="A14" s="109">
        <v>8</v>
      </c>
      <c r="B14" s="116" t="s">
        <v>17</v>
      </c>
      <c r="C14" s="109"/>
      <c r="D14" s="109"/>
      <c r="E14" s="109"/>
      <c r="F14" s="110"/>
      <c r="G14" s="111"/>
      <c r="H14" s="111"/>
      <c r="I14" s="111"/>
      <c r="J14" s="112">
        <f t="shared" si="1"/>
        <v>0</v>
      </c>
      <c r="K14" s="111"/>
      <c r="L14" s="111"/>
      <c r="M14" s="111"/>
      <c r="N14" s="111"/>
      <c r="O14" s="111"/>
      <c r="P14" s="111"/>
      <c r="Q14" s="113">
        <f t="shared" si="2"/>
        <v>0</v>
      </c>
      <c r="R14" s="114">
        <f t="shared" si="3"/>
        <v>0</v>
      </c>
      <c r="S14" s="114">
        <f t="shared" si="0"/>
        <v>0</v>
      </c>
      <c r="T14" s="174"/>
      <c r="U14" s="184"/>
      <c r="V14" s="184"/>
      <c r="W14" s="181"/>
    </row>
    <row r="15" spans="1:23" ht="20.25" customHeight="1">
      <c r="A15" s="109">
        <v>9</v>
      </c>
      <c r="B15" s="109" t="s">
        <v>18</v>
      </c>
      <c r="C15" s="109"/>
      <c r="D15" s="109"/>
      <c r="E15" s="109"/>
      <c r="F15" s="110"/>
      <c r="G15" s="111"/>
      <c r="H15" s="111"/>
      <c r="I15" s="111"/>
      <c r="J15" s="112">
        <f t="shared" si="1"/>
        <v>0</v>
      </c>
      <c r="K15" s="111"/>
      <c r="L15" s="111"/>
      <c r="M15" s="111"/>
      <c r="N15" s="111"/>
      <c r="O15" s="111"/>
      <c r="P15" s="111"/>
      <c r="Q15" s="113">
        <f t="shared" si="2"/>
        <v>0</v>
      </c>
      <c r="R15" s="114">
        <f t="shared" si="3"/>
        <v>0</v>
      </c>
      <c r="S15" s="114">
        <f t="shared" si="0"/>
        <v>0</v>
      </c>
      <c r="U15" s="184"/>
      <c r="V15" s="184"/>
      <c r="W15" s="181"/>
    </row>
    <row r="16" spans="1:23" s="175" customFormat="1" ht="20.25" customHeight="1">
      <c r="A16" s="109">
        <v>10</v>
      </c>
      <c r="B16" s="21" t="s">
        <v>19</v>
      </c>
      <c r="C16" s="21"/>
      <c r="D16" s="21"/>
      <c r="E16" s="21"/>
      <c r="F16" s="110"/>
      <c r="G16" s="111"/>
      <c r="H16" s="111"/>
      <c r="I16" s="111"/>
      <c r="J16" s="112">
        <f t="shared" si="1"/>
        <v>0</v>
      </c>
      <c r="K16" s="111"/>
      <c r="L16" s="111"/>
      <c r="M16" s="111"/>
      <c r="N16" s="111"/>
      <c r="O16" s="111"/>
      <c r="P16" s="111"/>
      <c r="Q16" s="113">
        <f t="shared" si="2"/>
        <v>0</v>
      </c>
      <c r="R16" s="114">
        <f t="shared" si="3"/>
        <v>0</v>
      </c>
      <c r="S16" s="114">
        <f t="shared" si="0"/>
        <v>0</v>
      </c>
      <c r="T16" s="174"/>
      <c r="U16" s="181"/>
      <c r="V16" s="181"/>
      <c r="W16" s="181"/>
    </row>
    <row r="17" spans="1:24" ht="20.25" customHeight="1">
      <c r="A17" s="109">
        <v>11</v>
      </c>
      <c r="B17" s="109" t="s">
        <v>20</v>
      </c>
      <c r="C17" s="109"/>
      <c r="D17" s="109"/>
      <c r="E17" s="109"/>
      <c r="F17" s="110"/>
      <c r="G17" s="111"/>
      <c r="H17" s="111"/>
      <c r="I17" s="111"/>
      <c r="J17" s="112">
        <f t="shared" si="1"/>
        <v>0</v>
      </c>
      <c r="K17" s="111"/>
      <c r="L17" s="111"/>
      <c r="M17" s="111"/>
      <c r="N17" s="111"/>
      <c r="O17" s="111"/>
      <c r="P17" s="111"/>
      <c r="Q17" s="113">
        <f t="shared" si="2"/>
        <v>0</v>
      </c>
      <c r="R17" s="114">
        <f t="shared" si="3"/>
        <v>0</v>
      </c>
      <c r="S17" s="114">
        <f t="shared" si="0"/>
        <v>0</v>
      </c>
      <c r="U17" s="184"/>
      <c r="V17" s="184"/>
      <c r="W17" s="181"/>
    </row>
    <row r="18" spans="1:24" s="175" customFormat="1" ht="20.25" customHeight="1">
      <c r="A18" s="109">
        <v>12</v>
      </c>
      <c r="B18" s="109" t="s">
        <v>21</v>
      </c>
      <c r="C18" s="109"/>
      <c r="D18" s="109"/>
      <c r="E18" s="109"/>
      <c r="F18" s="187"/>
      <c r="G18" s="188"/>
      <c r="H18" s="188"/>
      <c r="I18" s="188"/>
      <c r="J18" s="112">
        <f t="shared" si="1"/>
        <v>0</v>
      </c>
      <c r="K18" s="111"/>
      <c r="L18" s="111"/>
      <c r="M18" s="111"/>
      <c r="N18" s="111"/>
      <c r="O18" s="111"/>
      <c r="P18" s="111"/>
      <c r="Q18" s="113">
        <f t="shared" si="2"/>
        <v>0</v>
      </c>
      <c r="R18" s="114">
        <f t="shared" si="3"/>
        <v>0</v>
      </c>
      <c r="S18" s="114">
        <f t="shared" si="0"/>
        <v>0</v>
      </c>
      <c r="T18" s="174"/>
      <c r="U18" s="181"/>
      <c r="V18" s="181"/>
      <c r="W18" s="181"/>
    </row>
    <row r="19" spans="1:24" s="175" customFormat="1" ht="20.25" customHeight="1">
      <c r="A19" s="109">
        <v>13</v>
      </c>
      <c r="B19" s="21" t="s">
        <v>30</v>
      </c>
      <c r="C19" s="21"/>
      <c r="D19" s="21"/>
      <c r="E19" s="21"/>
      <c r="F19" s="111"/>
      <c r="G19" s="111"/>
      <c r="H19" s="111"/>
      <c r="I19" s="189"/>
      <c r="J19" s="112">
        <f t="shared" si="1"/>
        <v>0</v>
      </c>
      <c r="K19" s="183"/>
      <c r="L19" s="183"/>
      <c r="M19" s="183"/>
      <c r="N19" s="183"/>
      <c r="O19" s="183"/>
      <c r="P19" s="183"/>
      <c r="Q19" s="113">
        <f t="shared" si="2"/>
        <v>0</v>
      </c>
      <c r="R19" s="114">
        <f t="shared" si="3"/>
        <v>0</v>
      </c>
      <c r="S19" s="114">
        <f t="shared" si="0"/>
        <v>0</v>
      </c>
      <c r="T19" s="174"/>
      <c r="U19" s="181"/>
      <c r="V19" s="181"/>
      <c r="W19" s="181"/>
    </row>
    <row r="20" spans="1:24" s="175" customFormat="1" ht="20.25" customHeight="1">
      <c r="A20" s="109">
        <v>14</v>
      </c>
      <c r="B20" s="109" t="s">
        <v>22</v>
      </c>
      <c r="C20" s="109"/>
      <c r="D20" s="109"/>
      <c r="E20" s="109"/>
      <c r="F20" s="110"/>
      <c r="G20" s="111"/>
      <c r="H20" s="111"/>
      <c r="I20" s="111"/>
      <c r="J20" s="112">
        <f t="shared" si="1"/>
        <v>0</v>
      </c>
      <c r="K20" s="111"/>
      <c r="L20" s="111"/>
      <c r="M20" s="111"/>
      <c r="N20" s="111"/>
      <c r="O20" s="111"/>
      <c r="P20" s="111"/>
      <c r="Q20" s="113">
        <f t="shared" si="2"/>
        <v>0</v>
      </c>
      <c r="R20" s="114">
        <f t="shared" si="3"/>
        <v>0</v>
      </c>
      <c r="S20" s="114">
        <f t="shared" si="0"/>
        <v>0</v>
      </c>
      <c r="T20" s="174"/>
      <c r="U20" s="181"/>
      <c r="V20" s="181"/>
      <c r="W20" s="181"/>
    </row>
    <row r="21" spans="1:24" s="175" customFormat="1" ht="20.25" customHeight="1">
      <c r="A21" s="109">
        <v>15</v>
      </c>
      <c r="B21" s="109" t="s">
        <v>23</v>
      </c>
      <c r="C21" s="109"/>
      <c r="D21" s="109"/>
      <c r="E21" s="109"/>
      <c r="F21" s="110"/>
      <c r="G21" s="111"/>
      <c r="H21" s="111"/>
      <c r="I21" s="111"/>
      <c r="J21" s="112">
        <f t="shared" si="1"/>
        <v>0</v>
      </c>
      <c r="K21" s="111"/>
      <c r="L21" s="111"/>
      <c r="M21" s="111"/>
      <c r="N21" s="111"/>
      <c r="O21" s="111"/>
      <c r="P21" s="111"/>
      <c r="Q21" s="113">
        <f t="shared" si="2"/>
        <v>0</v>
      </c>
      <c r="R21" s="114">
        <f t="shared" si="3"/>
        <v>0</v>
      </c>
      <c r="S21" s="114">
        <f t="shared" si="0"/>
        <v>0</v>
      </c>
      <c r="T21" s="174"/>
      <c r="U21" s="181"/>
      <c r="V21" s="181"/>
      <c r="W21" s="181"/>
    </row>
    <row r="22" spans="1:24" ht="20.25" customHeight="1">
      <c r="A22" s="109">
        <v>16</v>
      </c>
      <c r="B22" s="109" t="s">
        <v>24</v>
      </c>
      <c r="C22" s="109"/>
      <c r="D22" s="109"/>
      <c r="E22" s="109"/>
      <c r="F22" s="110"/>
      <c r="G22" s="111"/>
      <c r="H22" s="111"/>
      <c r="I22" s="111"/>
      <c r="J22" s="112">
        <f t="shared" si="1"/>
        <v>0</v>
      </c>
      <c r="K22" s="111"/>
      <c r="L22" s="111"/>
      <c r="M22" s="111"/>
      <c r="N22" s="111"/>
      <c r="O22" s="111"/>
      <c r="P22" s="111"/>
      <c r="Q22" s="113">
        <f t="shared" si="2"/>
        <v>0</v>
      </c>
      <c r="R22" s="114">
        <f t="shared" si="3"/>
        <v>0</v>
      </c>
      <c r="S22" s="114">
        <f t="shared" si="0"/>
        <v>0</v>
      </c>
      <c r="U22" s="184"/>
      <c r="V22" s="184"/>
      <c r="W22" s="181"/>
    </row>
    <row r="23" spans="1:24" ht="20.25" customHeight="1">
      <c r="A23" s="109">
        <v>17</v>
      </c>
      <c r="B23" s="109" t="s">
        <v>33</v>
      </c>
      <c r="C23" s="109"/>
      <c r="D23" s="190"/>
      <c r="E23" s="109"/>
      <c r="F23" s="110"/>
      <c r="G23" s="111"/>
      <c r="H23" s="111"/>
      <c r="I23" s="111"/>
      <c r="J23" s="112">
        <f t="shared" si="1"/>
        <v>0</v>
      </c>
      <c r="K23" s="111"/>
      <c r="L23" s="111"/>
      <c r="M23" s="111"/>
      <c r="N23" s="111"/>
      <c r="O23" s="111"/>
      <c r="P23" s="111"/>
      <c r="Q23" s="113">
        <f t="shared" si="2"/>
        <v>0</v>
      </c>
      <c r="R23" s="114">
        <f t="shared" si="3"/>
        <v>0</v>
      </c>
      <c r="S23" s="114">
        <f t="shared" si="0"/>
        <v>0</v>
      </c>
      <c r="U23" s="184"/>
      <c r="V23" s="184"/>
      <c r="W23" s="181"/>
    </row>
    <row r="24" spans="1:24" ht="20.25" customHeight="1">
      <c r="A24" s="109">
        <v>18</v>
      </c>
      <c r="B24" s="117" t="s">
        <v>25</v>
      </c>
      <c r="C24" s="109"/>
      <c r="D24" s="109"/>
      <c r="E24" s="109"/>
      <c r="F24" s="182"/>
      <c r="G24" s="183"/>
      <c r="H24" s="183"/>
      <c r="I24" s="183"/>
      <c r="J24" s="112">
        <f t="shared" si="1"/>
        <v>0</v>
      </c>
      <c r="K24" s="183"/>
      <c r="L24" s="183"/>
      <c r="M24" s="183"/>
      <c r="N24" s="183"/>
      <c r="O24" s="183"/>
      <c r="P24" s="183"/>
      <c r="Q24" s="113">
        <f t="shared" si="2"/>
        <v>0</v>
      </c>
      <c r="R24" s="114">
        <f t="shared" si="3"/>
        <v>0</v>
      </c>
      <c r="S24" s="114">
        <f t="shared" si="0"/>
        <v>0</v>
      </c>
      <c r="U24" s="184"/>
      <c r="V24" s="184"/>
      <c r="W24" s="181"/>
      <c r="X24" s="184"/>
    </row>
    <row r="25" spans="1:24" s="175" customFormat="1" ht="20.25" customHeight="1">
      <c r="A25" s="357" t="s">
        <v>26</v>
      </c>
      <c r="B25" s="358"/>
      <c r="C25" s="358"/>
      <c r="D25" s="358"/>
      <c r="E25" s="359"/>
      <c r="F25" s="191">
        <f t="shared" ref="F25:J25" si="4">SUM(F7:F24)</f>
        <v>0</v>
      </c>
      <c r="G25" s="191">
        <f t="shared" si="4"/>
        <v>0</v>
      </c>
      <c r="H25" s="143">
        <f t="shared" si="4"/>
        <v>0</v>
      </c>
      <c r="I25" s="143">
        <f t="shared" si="4"/>
        <v>0</v>
      </c>
      <c r="J25" s="118">
        <f t="shared" si="4"/>
        <v>0</v>
      </c>
      <c r="K25" s="143">
        <f>SUM(K7:K24)</f>
        <v>0</v>
      </c>
      <c r="L25" s="143">
        <f t="shared" ref="L25:P25" si="5">SUM(L7:L24)</f>
        <v>0</v>
      </c>
      <c r="M25" s="192">
        <f t="shared" si="5"/>
        <v>0</v>
      </c>
      <c r="N25" s="192">
        <f t="shared" si="5"/>
        <v>0</v>
      </c>
      <c r="O25" s="192">
        <f t="shared" si="5"/>
        <v>0</v>
      </c>
      <c r="P25" s="192">
        <f t="shared" si="5"/>
        <v>0</v>
      </c>
      <c r="Q25" s="113">
        <f t="shared" si="2"/>
        <v>0</v>
      </c>
      <c r="R25" s="114">
        <f t="shared" si="3"/>
        <v>0</v>
      </c>
      <c r="S25" s="114">
        <f t="shared" si="0"/>
        <v>0</v>
      </c>
      <c r="T25" s="174"/>
      <c r="U25" s="181"/>
      <c r="V25" s="181"/>
      <c r="W25" s="181"/>
    </row>
    <row r="26" spans="1:24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U26" s="184"/>
      <c r="V26" s="184"/>
      <c r="W26" s="184"/>
    </row>
    <row r="27" spans="1:24">
      <c r="A27" s="88" t="s">
        <v>251</v>
      </c>
      <c r="K27" s="1"/>
      <c r="L27" s="1"/>
      <c r="M27" s="1"/>
      <c r="N27" s="1"/>
      <c r="O27" s="1"/>
      <c r="P27" s="1"/>
      <c r="Q27" s="184"/>
    </row>
    <row r="28" spans="1:24">
      <c r="L28" s="1"/>
      <c r="M28" s="1"/>
      <c r="N28" s="1"/>
      <c r="O28" s="1"/>
      <c r="P28" s="1"/>
      <c r="Q28" s="1"/>
    </row>
    <row r="29" spans="1:24">
      <c r="K29" s="184"/>
      <c r="L29" s="1"/>
      <c r="M29" s="1"/>
      <c r="N29" s="1"/>
      <c r="O29" s="1"/>
      <c r="P29" s="1"/>
      <c r="Q29" s="1"/>
    </row>
    <row r="30" spans="1:24">
      <c r="K30" s="1"/>
      <c r="S30" s="1"/>
      <c r="U30" s="168"/>
    </row>
    <row r="31" spans="1:24">
      <c r="K31" s="1"/>
      <c r="U31" s="168"/>
    </row>
    <row r="33" spans="10:11">
      <c r="J33" s="184"/>
      <c r="K33" s="184"/>
    </row>
  </sheetData>
  <mergeCells count="18">
    <mergeCell ref="E4:E6"/>
    <mergeCell ref="F5:G5"/>
    <mergeCell ref="A25:E25"/>
    <mergeCell ref="K5:L5"/>
    <mergeCell ref="M5:N5"/>
    <mergeCell ref="A1:S1"/>
    <mergeCell ref="F4:J4"/>
    <mergeCell ref="K4:Q4"/>
    <mergeCell ref="R4:R6"/>
    <mergeCell ref="S4:S6"/>
    <mergeCell ref="H5:I5"/>
    <mergeCell ref="J5:J6"/>
    <mergeCell ref="O5:P5"/>
    <mergeCell ref="Q5:Q6"/>
    <mergeCell ref="A4:A6"/>
    <mergeCell ref="B4:B6"/>
    <mergeCell ref="C4:C6"/>
    <mergeCell ref="D4:D6"/>
  </mergeCells>
  <phoneticPr fontId="35" type="noConversion"/>
  <pageMargins left="0.23622047244094491" right="0.15748031496062992" top="0.70866141732283472" bottom="0.51181102362204722" header="0.43307086614173229" footer="0.31496062992125984"/>
  <pageSetup paperSize="9" scale="7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27"/>
  <sheetViews>
    <sheetView showGridLines="0" zoomScale="85" zoomScaleNormal="85" zoomScaleSheetLayoutView="85" workbookViewId="0">
      <selection sqref="A1:W1"/>
    </sheetView>
  </sheetViews>
  <sheetFormatPr defaultRowHeight="16.5"/>
  <cols>
    <col min="1" max="1" width="3.5" bestFit="1" customWidth="1"/>
    <col min="2" max="2" width="5.875" customWidth="1"/>
    <col min="3" max="5" width="8.375" customWidth="1"/>
    <col min="6" max="6" width="10.375" customWidth="1"/>
    <col min="7" max="7" width="11.625" customWidth="1"/>
    <col min="8" max="8" width="7.25" customWidth="1"/>
    <col min="9" max="10" width="11.375" customWidth="1"/>
    <col min="11" max="11" width="11.25" customWidth="1"/>
    <col min="12" max="12" width="11.375" customWidth="1"/>
    <col min="13" max="13" width="7.25" customWidth="1"/>
    <col min="14" max="15" width="11.375" customWidth="1"/>
    <col min="16" max="16" width="13.375" customWidth="1"/>
    <col min="17" max="17" width="7.25" customWidth="1"/>
    <col min="18" max="18" width="11.375" customWidth="1"/>
    <col min="19" max="19" width="7.25" customWidth="1"/>
    <col min="20" max="20" width="11.375" customWidth="1"/>
    <col min="21" max="21" width="15.125" customWidth="1"/>
    <col min="23" max="23" width="12.625" customWidth="1"/>
  </cols>
  <sheetData>
    <row r="1" spans="1:26" ht="29.25" customHeight="1">
      <c r="A1" s="375" t="s">
        <v>262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</row>
    <row r="2" spans="1:26" ht="1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</row>
    <row r="3" spans="1:26">
      <c r="A3" s="380"/>
      <c r="B3" s="380"/>
      <c r="C3" s="380"/>
      <c r="D3" s="160"/>
      <c r="E3" s="160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8"/>
      <c r="S3" s="18"/>
      <c r="T3" s="18"/>
      <c r="V3" s="376" t="s">
        <v>32</v>
      </c>
      <c r="W3" s="376"/>
    </row>
    <row r="4" spans="1:26" ht="24.75" customHeight="1">
      <c r="A4" s="370" t="s">
        <v>0</v>
      </c>
      <c r="B4" s="370" t="s">
        <v>1</v>
      </c>
      <c r="C4" s="370" t="s">
        <v>230</v>
      </c>
      <c r="D4" s="370" t="s">
        <v>195</v>
      </c>
      <c r="E4" s="370" t="s">
        <v>193</v>
      </c>
      <c r="F4" s="367" t="s">
        <v>34</v>
      </c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77" t="s">
        <v>40</v>
      </c>
      <c r="R4" s="377"/>
      <c r="S4" s="377"/>
      <c r="T4" s="377"/>
      <c r="U4" s="377"/>
      <c r="V4" s="378" t="s">
        <v>2</v>
      </c>
      <c r="W4" s="379" t="s">
        <v>3</v>
      </c>
    </row>
    <row r="5" spans="1:26" ht="24.75" customHeight="1">
      <c r="A5" s="370"/>
      <c r="B5" s="370"/>
      <c r="C5" s="370"/>
      <c r="D5" s="370"/>
      <c r="E5" s="370"/>
      <c r="F5" s="371" t="s">
        <v>252</v>
      </c>
      <c r="G5" s="371"/>
      <c r="H5" s="367" t="s">
        <v>253</v>
      </c>
      <c r="I5" s="367"/>
      <c r="J5" s="368" t="s">
        <v>260</v>
      </c>
      <c r="K5" s="371" t="s">
        <v>261</v>
      </c>
      <c r="L5" s="371"/>
      <c r="M5" s="367" t="s">
        <v>254</v>
      </c>
      <c r="N5" s="367"/>
      <c r="O5" s="368" t="s">
        <v>260</v>
      </c>
      <c r="P5" s="367" t="s">
        <v>6</v>
      </c>
      <c r="Q5" s="377" t="s">
        <v>5</v>
      </c>
      <c r="R5" s="377"/>
      <c r="S5" s="377" t="s">
        <v>27</v>
      </c>
      <c r="T5" s="377"/>
      <c r="U5" s="377" t="s">
        <v>7</v>
      </c>
      <c r="V5" s="378"/>
      <c r="W5" s="379"/>
    </row>
    <row r="6" spans="1:26" ht="20.25" customHeight="1">
      <c r="A6" s="370"/>
      <c r="B6" s="370"/>
      <c r="C6" s="370"/>
      <c r="D6" s="370"/>
      <c r="E6" s="370"/>
      <c r="F6" s="193" t="s">
        <v>28</v>
      </c>
      <c r="G6" s="194" t="s">
        <v>9</v>
      </c>
      <c r="H6" s="195" t="s">
        <v>28</v>
      </c>
      <c r="I6" s="196" t="s">
        <v>9</v>
      </c>
      <c r="J6" s="369"/>
      <c r="K6" s="193" t="s">
        <v>8</v>
      </c>
      <c r="L6" s="194" t="s">
        <v>9</v>
      </c>
      <c r="M6" s="195" t="s">
        <v>8</v>
      </c>
      <c r="N6" s="196" t="s">
        <v>9</v>
      </c>
      <c r="O6" s="369"/>
      <c r="P6" s="367"/>
      <c r="Q6" s="197" t="s">
        <v>8</v>
      </c>
      <c r="R6" s="198" t="s">
        <v>29</v>
      </c>
      <c r="S6" s="198" t="s">
        <v>8</v>
      </c>
      <c r="T6" s="198" t="s">
        <v>9</v>
      </c>
      <c r="U6" s="377"/>
      <c r="V6" s="378"/>
      <c r="W6" s="379"/>
    </row>
    <row r="7" spans="1:26" ht="20.25" customHeight="1">
      <c r="A7" s="199">
        <v>1</v>
      </c>
      <c r="B7" s="200" t="s">
        <v>10</v>
      </c>
      <c r="C7" s="199"/>
      <c r="D7" s="199"/>
      <c r="E7" s="199"/>
      <c r="F7" s="123"/>
      <c r="G7" s="123"/>
      <c r="H7" s="123"/>
      <c r="I7" s="123"/>
      <c r="J7" s="231">
        <f>G7+I7</f>
        <v>0</v>
      </c>
      <c r="K7" s="232"/>
      <c r="L7" s="123"/>
      <c r="M7" s="123"/>
      <c r="N7" s="233"/>
      <c r="O7" s="231">
        <f>L7+N7</f>
        <v>0</v>
      </c>
      <c r="P7" s="201">
        <f>G7+I7+L7+N7</f>
        <v>0</v>
      </c>
      <c r="Q7" s="123"/>
      <c r="R7" s="123"/>
      <c r="S7" s="123"/>
      <c r="T7" s="123"/>
      <c r="U7" s="202">
        <f>SUM(R7+T7)</f>
        <v>0</v>
      </c>
      <c r="V7" s="203">
        <f>SUM(F7+H7+M7+K7+Q7+S7)</f>
        <v>0</v>
      </c>
      <c r="W7" s="203">
        <f>SUM(P7+U7)</f>
        <v>0</v>
      </c>
      <c r="Y7" s="1"/>
      <c r="Z7" s="1"/>
    </row>
    <row r="8" spans="1:26" ht="20.25" customHeight="1">
      <c r="A8" s="199">
        <v>2</v>
      </c>
      <c r="B8" s="200" t="s">
        <v>11</v>
      </c>
      <c r="C8" s="199"/>
      <c r="D8" s="199"/>
      <c r="E8" s="199"/>
      <c r="F8" s="204"/>
      <c r="G8" s="152"/>
      <c r="H8" s="204"/>
      <c r="I8" s="152"/>
      <c r="J8" s="231">
        <f t="shared" ref="J8:J24" si="0">G8+I8</f>
        <v>0</v>
      </c>
      <c r="K8" s="234"/>
      <c r="L8" s="204"/>
      <c r="M8" s="204"/>
      <c r="N8" s="204"/>
      <c r="O8" s="231">
        <f>L8+N8</f>
        <v>0</v>
      </c>
      <c r="P8" s="201">
        <f t="shared" ref="P8:P23" si="1">G8+I8+L8+N8</f>
        <v>0</v>
      </c>
      <c r="Q8" s="204"/>
      <c r="R8" s="204"/>
      <c r="S8" s="204"/>
      <c r="T8" s="204"/>
      <c r="U8" s="202">
        <f t="shared" ref="U8:U24" si="2">SUM(R8+T8)</f>
        <v>0</v>
      </c>
      <c r="V8" s="203">
        <f t="shared" ref="V8:V24" si="3">SUM(F8+H8+M8+K8+Q8+S8)</f>
        <v>0</v>
      </c>
      <c r="W8" s="203">
        <f t="shared" ref="W8:W24" si="4">SUM(P8+U8)</f>
        <v>0</v>
      </c>
      <c r="Y8" s="1"/>
      <c r="Z8" s="1"/>
    </row>
    <row r="9" spans="1:26" ht="20.25" customHeight="1">
      <c r="A9" s="199">
        <v>3</v>
      </c>
      <c r="B9" s="200" t="s">
        <v>12</v>
      </c>
      <c r="C9" s="199"/>
      <c r="D9" s="199"/>
      <c r="E9" s="199"/>
      <c r="F9" s="124"/>
      <c r="G9" s="125"/>
      <c r="H9" s="124"/>
      <c r="I9" s="235"/>
      <c r="J9" s="231">
        <f t="shared" si="0"/>
        <v>0</v>
      </c>
      <c r="K9" s="236"/>
      <c r="L9" s="125"/>
      <c r="M9" s="126"/>
      <c r="N9" s="235"/>
      <c r="O9" s="231">
        <f>L9+N9</f>
        <v>0</v>
      </c>
      <c r="P9" s="201">
        <f t="shared" si="1"/>
        <v>0</v>
      </c>
      <c r="Q9" s="127"/>
      <c r="R9" s="205"/>
      <c r="S9" s="127"/>
      <c r="T9" s="205"/>
      <c r="U9" s="202">
        <f t="shared" si="2"/>
        <v>0</v>
      </c>
      <c r="V9" s="203">
        <f t="shared" si="3"/>
        <v>0</v>
      </c>
      <c r="W9" s="203">
        <f t="shared" si="4"/>
        <v>0</v>
      </c>
      <c r="Y9" s="1"/>
      <c r="Z9" s="1"/>
    </row>
    <row r="10" spans="1:26" ht="20.25" customHeight="1">
      <c r="A10" s="199">
        <v>4</v>
      </c>
      <c r="B10" s="200" t="s">
        <v>13</v>
      </c>
      <c r="C10" s="199"/>
      <c r="D10" s="199"/>
      <c r="E10" s="199"/>
      <c r="F10" s="9"/>
      <c r="G10" s="10"/>
      <c r="H10" s="9"/>
      <c r="I10" s="10"/>
      <c r="J10" s="231">
        <f t="shared" si="0"/>
        <v>0</v>
      </c>
      <c r="K10" s="237"/>
      <c r="L10" s="207"/>
      <c r="M10" s="206"/>
      <c r="N10" s="238"/>
      <c r="O10" s="239"/>
      <c r="P10" s="201">
        <f t="shared" si="1"/>
        <v>0</v>
      </c>
      <c r="Q10" s="123"/>
      <c r="R10" s="123"/>
      <c r="S10" s="206"/>
      <c r="T10" s="207"/>
      <c r="U10" s="202">
        <f t="shared" si="2"/>
        <v>0</v>
      </c>
      <c r="V10" s="203">
        <f t="shared" si="3"/>
        <v>0</v>
      </c>
      <c r="W10" s="203">
        <f t="shared" si="4"/>
        <v>0</v>
      </c>
      <c r="Y10" s="1"/>
      <c r="Z10" s="1"/>
    </row>
    <row r="11" spans="1:26" ht="20.25" customHeight="1">
      <c r="A11" s="199">
        <v>5</v>
      </c>
      <c r="B11" s="200" t="s">
        <v>14</v>
      </c>
      <c r="C11" s="199"/>
      <c r="D11" s="199"/>
      <c r="E11" s="199"/>
      <c r="F11" s="142"/>
      <c r="G11" s="152"/>
      <c r="H11" s="142"/>
      <c r="I11" s="152"/>
      <c r="J11" s="231">
        <f t="shared" si="0"/>
        <v>0</v>
      </c>
      <c r="K11" s="240"/>
      <c r="L11" s="122"/>
      <c r="M11" s="122"/>
      <c r="N11" s="241"/>
      <c r="O11" s="231">
        <f>L11+N11</f>
        <v>0</v>
      </c>
      <c r="P11" s="201">
        <f t="shared" si="1"/>
        <v>0</v>
      </c>
      <c r="Q11" s="152"/>
      <c r="R11" s="152"/>
      <c r="S11" s="152"/>
      <c r="T11" s="152"/>
      <c r="U11" s="202">
        <f t="shared" si="2"/>
        <v>0</v>
      </c>
      <c r="V11" s="203">
        <f t="shared" si="3"/>
        <v>0</v>
      </c>
      <c r="W11" s="203">
        <f t="shared" si="4"/>
        <v>0</v>
      </c>
      <c r="Y11" s="1"/>
      <c r="Z11" s="1"/>
    </row>
    <row r="12" spans="1:26" ht="20.25" customHeight="1">
      <c r="A12" s="199">
        <v>6</v>
      </c>
      <c r="B12" s="200" t="s">
        <v>15</v>
      </c>
      <c r="C12" s="199"/>
      <c r="D12" s="199"/>
      <c r="E12" s="199"/>
      <c r="F12" s="11"/>
      <c r="G12" s="11"/>
      <c r="H12" s="242"/>
      <c r="I12" s="243"/>
      <c r="J12" s="231">
        <f t="shared" si="0"/>
        <v>0</v>
      </c>
      <c r="K12" s="240"/>
      <c r="L12" s="128"/>
      <c r="M12" s="122"/>
      <c r="N12" s="244"/>
      <c r="O12" s="231">
        <f>L12+N12</f>
        <v>0</v>
      </c>
      <c r="P12" s="201">
        <f t="shared" si="1"/>
        <v>0</v>
      </c>
      <c r="Q12" s="152"/>
      <c r="R12" s="152"/>
      <c r="S12" s="152"/>
      <c r="T12" s="152"/>
      <c r="U12" s="202">
        <f t="shared" si="2"/>
        <v>0</v>
      </c>
      <c r="V12" s="203">
        <f t="shared" si="3"/>
        <v>0</v>
      </c>
      <c r="W12" s="203">
        <f t="shared" si="4"/>
        <v>0</v>
      </c>
      <c r="Y12" s="1"/>
      <c r="Z12" s="1"/>
    </row>
    <row r="13" spans="1:26" ht="20.25" customHeight="1">
      <c r="A13" s="199">
        <v>7</v>
      </c>
      <c r="B13" s="200" t="s">
        <v>255</v>
      </c>
      <c r="C13" s="199"/>
      <c r="D13" s="119"/>
      <c r="E13" s="119"/>
      <c r="F13" s="11"/>
      <c r="G13" s="11"/>
      <c r="H13" s="11"/>
      <c r="I13" s="11"/>
      <c r="J13" s="231">
        <f t="shared" si="0"/>
        <v>0</v>
      </c>
      <c r="K13" s="245"/>
      <c r="L13" s="209"/>
      <c r="M13" s="208"/>
      <c r="N13" s="246"/>
      <c r="O13" s="239"/>
      <c r="P13" s="201">
        <f t="shared" si="1"/>
        <v>0</v>
      </c>
      <c r="Q13" s="122"/>
      <c r="R13" s="122"/>
      <c r="S13" s="208"/>
      <c r="T13" s="209"/>
      <c r="U13" s="202">
        <f t="shared" si="2"/>
        <v>0</v>
      </c>
      <c r="V13" s="203">
        <f t="shared" si="3"/>
        <v>0</v>
      </c>
      <c r="W13" s="203">
        <f t="shared" si="4"/>
        <v>0</v>
      </c>
      <c r="Y13" s="1"/>
      <c r="Z13" s="1"/>
    </row>
    <row r="14" spans="1:26" ht="20.25" customHeight="1">
      <c r="A14" s="199">
        <v>8</v>
      </c>
      <c r="B14" s="210" t="s">
        <v>17</v>
      </c>
      <c r="C14" s="199"/>
      <c r="D14" s="119"/>
      <c r="E14" s="119"/>
      <c r="F14" s="129"/>
      <c r="G14" s="10"/>
      <c r="H14" s="129"/>
      <c r="I14" s="10"/>
      <c r="J14" s="231">
        <f t="shared" si="0"/>
        <v>0</v>
      </c>
      <c r="K14" s="247"/>
      <c r="L14" s="10"/>
      <c r="M14" s="129"/>
      <c r="N14" s="10"/>
      <c r="O14" s="231">
        <f>L14+N14</f>
        <v>0</v>
      </c>
      <c r="P14" s="201">
        <f t="shared" si="1"/>
        <v>0</v>
      </c>
      <c r="Q14" s="130"/>
      <c r="R14" s="122"/>
      <c r="S14" s="122"/>
      <c r="T14" s="122"/>
      <c r="U14" s="202">
        <f t="shared" si="2"/>
        <v>0</v>
      </c>
      <c r="V14" s="203">
        <f t="shared" si="3"/>
        <v>0</v>
      </c>
      <c r="W14" s="203">
        <f t="shared" si="4"/>
        <v>0</v>
      </c>
      <c r="Y14" s="1"/>
      <c r="Z14" s="1"/>
    </row>
    <row r="15" spans="1:26" ht="20.25" customHeight="1">
      <c r="A15" s="199">
        <v>9</v>
      </c>
      <c r="B15" s="210" t="s">
        <v>18</v>
      </c>
      <c r="C15" s="199"/>
      <c r="D15" s="199"/>
      <c r="E15" s="199"/>
      <c r="F15" s="131"/>
      <c r="G15" s="132"/>
      <c r="H15" s="131"/>
      <c r="I15" s="248"/>
      <c r="J15" s="231">
        <f t="shared" si="0"/>
        <v>0</v>
      </c>
      <c r="K15" s="240"/>
      <c r="L15" s="128"/>
      <c r="M15" s="122"/>
      <c r="N15" s="244"/>
      <c r="O15" s="231">
        <f>L15+N15</f>
        <v>0</v>
      </c>
      <c r="P15" s="201">
        <f t="shared" si="1"/>
        <v>0</v>
      </c>
      <c r="Q15" s="122"/>
      <c r="R15" s="122"/>
      <c r="S15" s="122"/>
      <c r="T15" s="122"/>
      <c r="U15" s="202">
        <f t="shared" si="2"/>
        <v>0</v>
      </c>
      <c r="V15" s="203">
        <f t="shared" si="3"/>
        <v>0</v>
      </c>
      <c r="W15" s="203">
        <f t="shared" si="4"/>
        <v>0</v>
      </c>
      <c r="Y15" s="1"/>
      <c r="Z15" s="1"/>
    </row>
    <row r="16" spans="1:26" ht="20.25" customHeight="1">
      <c r="A16" s="199">
        <v>10</v>
      </c>
      <c r="B16" s="210" t="s">
        <v>19</v>
      </c>
      <c r="C16" s="199"/>
      <c r="D16" s="199"/>
      <c r="E16" s="199"/>
      <c r="F16" s="121"/>
      <c r="G16" s="11"/>
      <c r="H16" s="121"/>
      <c r="I16" s="249"/>
      <c r="J16" s="231">
        <f t="shared" si="0"/>
        <v>0</v>
      </c>
      <c r="K16" s="250"/>
      <c r="L16" s="212"/>
      <c r="M16" s="211"/>
      <c r="N16" s="251"/>
      <c r="O16" s="239"/>
      <c r="P16" s="201">
        <f t="shared" si="1"/>
        <v>0</v>
      </c>
      <c r="Q16" s="122"/>
      <c r="R16" s="122"/>
      <c r="S16" s="211"/>
      <c r="T16" s="212"/>
      <c r="U16" s="202">
        <f t="shared" si="2"/>
        <v>0</v>
      </c>
      <c r="V16" s="203">
        <f t="shared" si="3"/>
        <v>0</v>
      </c>
      <c r="W16" s="203">
        <f t="shared" si="4"/>
        <v>0</v>
      </c>
      <c r="Y16" s="1"/>
      <c r="Z16" s="1"/>
    </row>
    <row r="17" spans="1:26" ht="20.25" customHeight="1">
      <c r="A17" s="199">
        <v>11</v>
      </c>
      <c r="B17" s="210" t="s">
        <v>20</v>
      </c>
      <c r="C17" s="199"/>
      <c r="D17" s="119"/>
      <c r="E17" s="119"/>
      <c r="F17" s="252"/>
      <c r="G17" s="253"/>
      <c r="H17" s="141"/>
      <c r="I17" s="254"/>
      <c r="J17" s="231">
        <f t="shared" si="0"/>
        <v>0</v>
      </c>
      <c r="K17" s="245"/>
      <c r="L17" s="209"/>
      <c r="M17" s="208"/>
      <c r="N17" s="246"/>
      <c r="O17" s="239"/>
      <c r="P17" s="201">
        <f t="shared" si="1"/>
        <v>0</v>
      </c>
      <c r="Q17" s="122"/>
      <c r="R17" s="122"/>
      <c r="S17" s="208"/>
      <c r="T17" s="209"/>
      <c r="U17" s="202">
        <f t="shared" si="2"/>
        <v>0</v>
      </c>
      <c r="V17" s="203">
        <f t="shared" si="3"/>
        <v>0</v>
      </c>
      <c r="W17" s="203">
        <f t="shared" si="4"/>
        <v>0</v>
      </c>
      <c r="Y17" s="1"/>
      <c r="Z17" s="1"/>
    </row>
    <row r="18" spans="1:26" ht="20.25" customHeight="1">
      <c r="A18" s="199">
        <v>12</v>
      </c>
      <c r="B18" s="210" t="s">
        <v>21</v>
      </c>
      <c r="C18" s="199"/>
      <c r="D18" s="199"/>
      <c r="E18" s="199"/>
      <c r="F18" s="134"/>
      <c r="G18" s="135"/>
      <c r="H18" s="134"/>
      <c r="I18" s="255"/>
      <c r="J18" s="231">
        <f t="shared" si="0"/>
        <v>0</v>
      </c>
      <c r="K18" s="256"/>
      <c r="L18" s="214"/>
      <c r="M18" s="213"/>
      <c r="N18" s="257"/>
      <c r="O18" s="239"/>
      <c r="P18" s="201">
        <f t="shared" si="1"/>
        <v>0</v>
      </c>
      <c r="Q18" s="122"/>
      <c r="R18" s="122"/>
      <c r="S18" s="213"/>
      <c r="T18" s="214"/>
      <c r="U18" s="202">
        <f t="shared" si="2"/>
        <v>0</v>
      </c>
      <c r="V18" s="203">
        <f t="shared" si="3"/>
        <v>0</v>
      </c>
      <c r="W18" s="203">
        <f t="shared" si="4"/>
        <v>0</v>
      </c>
      <c r="Y18" s="1"/>
      <c r="Z18" s="1"/>
    </row>
    <row r="19" spans="1:26" ht="20.25" customHeight="1">
      <c r="A19" s="199">
        <v>13</v>
      </c>
      <c r="B19" s="210" t="s">
        <v>30</v>
      </c>
      <c r="C19" s="199"/>
      <c r="D19" s="199"/>
      <c r="E19" s="199"/>
      <c r="F19" s="136"/>
      <c r="G19" s="137"/>
      <c r="H19" s="136"/>
      <c r="I19" s="258"/>
      <c r="J19" s="231">
        <f t="shared" si="0"/>
        <v>0</v>
      </c>
      <c r="K19" s="250"/>
      <c r="L19" s="212"/>
      <c r="M19" s="211"/>
      <c r="N19" s="251"/>
      <c r="O19" s="239"/>
      <c r="P19" s="201">
        <f t="shared" si="1"/>
        <v>0</v>
      </c>
      <c r="Q19" s="138"/>
      <c r="R19" s="138"/>
      <c r="S19" s="211"/>
      <c r="T19" s="212"/>
      <c r="U19" s="202">
        <f t="shared" si="2"/>
        <v>0</v>
      </c>
      <c r="V19" s="203">
        <f t="shared" si="3"/>
        <v>0</v>
      </c>
      <c r="W19" s="203">
        <f t="shared" si="4"/>
        <v>0</v>
      </c>
      <c r="Y19" s="1"/>
      <c r="Z19" s="1"/>
    </row>
    <row r="20" spans="1:26" ht="20.25" customHeight="1">
      <c r="A20" s="199">
        <v>14</v>
      </c>
      <c r="B20" s="210" t="s">
        <v>22</v>
      </c>
      <c r="C20" s="199"/>
      <c r="D20" s="119"/>
      <c r="E20" s="119"/>
      <c r="F20" s="139"/>
      <c r="G20" s="139"/>
      <c r="H20" s="139"/>
      <c r="I20" s="259"/>
      <c r="J20" s="231">
        <f t="shared" si="0"/>
        <v>0</v>
      </c>
      <c r="K20" s="260"/>
      <c r="L20" s="216"/>
      <c r="M20" s="215"/>
      <c r="N20" s="261"/>
      <c r="O20" s="239"/>
      <c r="P20" s="201">
        <f t="shared" si="1"/>
        <v>0</v>
      </c>
      <c r="Q20" s="126"/>
      <c r="R20" s="126"/>
      <c r="S20" s="215"/>
      <c r="T20" s="216"/>
      <c r="U20" s="202">
        <f t="shared" si="2"/>
        <v>0</v>
      </c>
      <c r="V20" s="203">
        <f t="shared" si="3"/>
        <v>0</v>
      </c>
      <c r="W20" s="203">
        <f t="shared" si="4"/>
        <v>0</v>
      </c>
      <c r="Y20" s="1"/>
      <c r="Z20" s="1"/>
    </row>
    <row r="21" spans="1:26" ht="20.25" customHeight="1">
      <c r="A21" s="199">
        <v>15</v>
      </c>
      <c r="B21" s="210" t="s">
        <v>23</v>
      </c>
      <c r="C21" s="199"/>
      <c r="D21" s="119"/>
      <c r="E21" s="119"/>
      <c r="F21" s="217"/>
      <c r="G21" s="218"/>
      <c r="H21" s="217"/>
      <c r="I21" s="262"/>
      <c r="J21" s="231">
        <f t="shared" si="0"/>
        <v>0</v>
      </c>
      <c r="K21" s="250"/>
      <c r="L21" s="212"/>
      <c r="M21" s="211"/>
      <c r="N21" s="251"/>
      <c r="O21" s="239"/>
      <c r="P21" s="201">
        <f t="shared" si="1"/>
        <v>0</v>
      </c>
      <c r="Q21" s="122"/>
      <c r="R21" s="122"/>
      <c r="S21" s="211"/>
      <c r="T21" s="212"/>
      <c r="U21" s="202">
        <f t="shared" si="2"/>
        <v>0</v>
      </c>
      <c r="V21" s="203">
        <f t="shared" si="3"/>
        <v>0</v>
      </c>
      <c r="W21" s="203">
        <f t="shared" si="4"/>
        <v>0</v>
      </c>
      <c r="Y21" s="1"/>
      <c r="Z21" s="1"/>
    </row>
    <row r="22" spans="1:26" ht="20.25" customHeight="1">
      <c r="A22" s="199">
        <v>16</v>
      </c>
      <c r="B22" s="210" t="s">
        <v>24</v>
      </c>
      <c r="C22" s="199"/>
      <c r="D22" s="199"/>
      <c r="E22" s="199"/>
      <c r="F22" s="128"/>
      <c r="G22" s="11"/>
      <c r="H22" s="128"/>
      <c r="I22" s="249"/>
      <c r="J22" s="231">
        <f t="shared" si="0"/>
        <v>0</v>
      </c>
      <c r="K22" s="250"/>
      <c r="L22" s="212"/>
      <c r="M22" s="211"/>
      <c r="N22" s="251"/>
      <c r="O22" s="239"/>
      <c r="P22" s="201">
        <f t="shared" si="1"/>
        <v>0</v>
      </c>
      <c r="Q22" s="122"/>
      <c r="R22" s="122"/>
      <c r="S22" s="211"/>
      <c r="T22" s="212"/>
      <c r="U22" s="202">
        <f t="shared" si="2"/>
        <v>0</v>
      </c>
      <c r="V22" s="203">
        <f t="shared" si="3"/>
        <v>0</v>
      </c>
      <c r="W22" s="203">
        <f t="shared" si="4"/>
        <v>0</v>
      </c>
      <c r="Y22" s="1"/>
      <c r="Z22" s="1"/>
    </row>
    <row r="23" spans="1:26" s="224" customFormat="1" ht="20.25" customHeight="1">
      <c r="A23" s="199">
        <v>17</v>
      </c>
      <c r="B23" s="210" t="s">
        <v>33</v>
      </c>
      <c r="C23" s="199"/>
      <c r="D23" s="199"/>
      <c r="E23" s="199"/>
      <c r="F23" s="134"/>
      <c r="G23" s="219"/>
      <c r="H23" s="134"/>
      <c r="I23" s="219"/>
      <c r="J23" s="231">
        <f t="shared" si="0"/>
        <v>0</v>
      </c>
      <c r="K23" s="263"/>
      <c r="L23" s="221"/>
      <c r="M23" s="220"/>
      <c r="N23" s="264"/>
      <c r="O23" s="231">
        <f>L23+N23</f>
        <v>0</v>
      </c>
      <c r="P23" s="201">
        <f t="shared" si="1"/>
        <v>0</v>
      </c>
      <c r="Q23" s="222"/>
      <c r="R23" s="223"/>
      <c r="S23" s="222"/>
      <c r="T23" s="222"/>
      <c r="U23" s="202">
        <f t="shared" si="2"/>
        <v>0</v>
      </c>
      <c r="V23" s="203">
        <f t="shared" si="3"/>
        <v>0</v>
      </c>
      <c r="W23" s="203">
        <f t="shared" si="4"/>
        <v>0</v>
      </c>
      <c r="Y23" s="1"/>
      <c r="Z23" s="1"/>
    </row>
    <row r="24" spans="1:26" ht="20.25" customHeight="1">
      <c r="A24" s="199">
        <v>18</v>
      </c>
      <c r="B24" s="210" t="s">
        <v>25</v>
      </c>
      <c r="C24" s="199"/>
      <c r="D24" s="199"/>
      <c r="E24" s="199"/>
      <c r="F24" s="128"/>
      <c r="G24" s="122"/>
      <c r="H24" s="128"/>
      <c r="I24" s="241"/>
      <c r="J24" s="231">
        <f t="shared" si="0"/>
        <v>0</v>
      </c>
      <c r="K24" s="245"/>
      <c r="L24" s="208"/>
      <c r="M24" s="208"/>
      <c r="N24" s="265"/>
      <c r="O24" s="239"/>
      <c r="P24" s="201">
        <f>G24+I24+L24+N24</f>
        <v>0</v>
      </c>
      <c r="Q24" s="122"/>
      <c r="R24" s="121"/>
      <c r="S24" s="211"/>
      <c r="T24" s="225"/>
      <c r="U24" s="202">
        <f t="shared" si="2"/>
        <v>0</v>
      </c>
      <c r="V24" s="203">
        <f t="shared" si="3"/>
        <v>0</v>
      </c>
      <c r="W24" s="203">
        <f t="shared" si="4"/>
        <v>0</v>
      </c>
      <c r="Y24" s="1"/>
      <c r="Z24" s="1"/>
    </row>
    <row r="25" spans="1:26" ht="20.25" customHeight="1">
      <c r="A25" s="372" t="s">
        <v>26</v>
      </c>
      <c r="B25" s="373"/>
      <c r="C25" s="373"/>
      <c r="D25" s="373"/>
      <c r="E25" s="374"/>
      <c r="F25" s="226">
        <f>SUM(F7:F24)</f>
        <v>0</v>
      </c>
      <c r="G25" s="226">
        <f t="shared" ref="G25:T25" si="5">SUM(G7:G24)</f>
        <v>0</v>
      </c>
      <c r="H25" s="227">
        <f>SUM(H7:H24)</f>
        <v>0</v>
      </c>
      <c r="I25" s="227">
        <f t="shared" ref="I25" si="6">SUM(I7:I24)</f>
        <v>0</v>
      </c>
      <c r="J25" s="266">
        <f>G25+I25</f>
        <v>0</v>
      </c>
      <c r="K25" s="226">
        <f t="shared" ref="K25:L25" si="7">SUM(K7:K24)</f>
        <v>0</v>
      </c>
      <c r="L25" s="226">
        <f t="shared" si="7"/>
        <v>0</v>
      </c>
      <c r="M25" s="227">
        <f t="shared" si="5"/>
        <v>0</v>
      </c>
      <c r="N25" s="267">
        <f t="shared" si="5"/>
        <v>0</v>
      </c>
      <c r="O25" s="231">
        <f t="shared" ref="O25" si="8">K25+N25</f>
        <v>0</v>
      </c>
      <c r="P25" s="228">
        <f>SUM(P7:P24)</f>
        <v>0</v>
      </c>
      <c r="Q25" s="227">
        <f t="shared" si="5"/>
        <v>0</v>
      </c>
      <c r="R25" s="227">
        <f>SUM(R7:R24)</f>
        <v>0</v>
      </c>
      <c r="S25" s="227">
        <f t="shared" si="5"/>
        <v>0</v>
      </c>
      <c r="T25" s="227">
        <f t="shared" si="5"/>
        <v>0</v>
      </c>
      <c r="U25" s="202">
        <f>SUM(U7:U24)</f>
        <v>0</v>
      </c>
      <c r="V25" s="229">
        <f>SUM(V7:V24)</f>
        <v>0</v>
      </c>
      <c r="W25" s="203">
        <f>SUM(W7:W24)</f>
        <v>0</v>
      </c>
      <c r="Y25" s="1"/>
      <c r="Z25" s="1"/>
    </row>
    <row r="26" spans="1:26">
      <c r="F26" s="230"/>
      <c r="G26" s="230"/>
      <c r="H26" s="230"/>
      <c r="I26" s="230"/>
      <c r="J26" s="230"/>
      <c r="K26" s="230"/>
      <c r="L26" s="230"/>
      <c r="M26" s="230"/>
      <c r="N26" s="230"/>
      <c r="O26" s="230"/>
    </row>
    <row r="27" spans="1:26">
      <c r="A27" s="88" t="s">
        <v>251</v>
      </c>
    </row>
  </sheetData>
  <mergeCells count="23">
    <mergeCell ref="A25:E25"/>
    <mergeCell ref="A1:W1"/>
    <mergeCell ref="V3:W3"/>
    <mergeCell ref="F4:P4"/>
    <mergeCell ref="Q4:U4"/>
    <mergeCell ref="V4:V6"/>
    <mergeCell ref="W4:W6"/>
    <mergeCell ref="P5:P6"/>
    <mergeCell ref="S5:T5"/>
    <mergeCell ref="U5:U6"/>
    <mergeCell ref="K5:L5"/>
    <mergeCell ref="M5:N5"/>
    <mergeCell ref="O5:O6"/>
    <mergeCell ref="Q5:R5"/>
    <mergeCell ref="A3:C3"/>
    <mergeCell ref="A4:A6"/>
    <mergeCell ref="H5:I5"/>
    <mergeCell ref="J5:J6"/>
    <mergeCell ref="B4:B6"/>
    <mergeCell ref="C4:C6"/>
    <mergeCell ref="D4:D6"/>
    <mergeCell ref="E4:E6"/>
    <mergeCell ref="F5:G5"/>
  </mergeCells>
  <phoneticPr fontId="35" type="noConversion"/>
  <pageMargins left="0.23622047244094491" right="0.15748031496062992" top="0.70866141732283472" bottom="0.51181102362204722" header="0.43307086614173229" footer="0.31496062992125984"/>
  <pageSetup paperSize="9" scale="7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Z27"/>
  <sheetViews>
    <sheetView showGridLines="0" zoomScale="85" zoomScaleNormal="85" zoomScaleSheetLayoutView="85" workbookViewId="0">
      <selection sqref="A1:W1"/>
    </sheetView>
  </sheetViews>
  <sheetFormatPr defaultRowHeight="16.5"/>
  <cols>
    <col min="1" max="1" width="3.5" bestFit="1" customWidth="1"/>
    <col min="2" max="2" width="5.875" customWidth="1"/>
    <col min="3" max="5" width="8.375" customWidth="1"/>
    <col min="6" max="6" width="10.375" customWidth="1"/>
    <col min="7" max="7" width="11.625" customWidth="1"/>
    <col min="8" max="8" width="7.25" customWidth="1"/>
    <col min="9" max="10" width="11.375" customWidth="1"/>
    <col min="11" max="11" width="11.25" customWidth="1"/>
    <col min="12" max="12" width="11.375" customWidth="1"/>
    <col min="13" max="13" width="7.25" customWidth="1"/>
    <col min="14" max="15" width="11.375" customWidth="1"/>
    <col min="16" max="16" width="13.375" customWidth="1"/>
    <col min="17" max="17" width="7.25" customWidth="1"/>
    <col min="18" max="18" width="11.375" customWidth="1"/>
    <col min="19" max="19" width="7.25" customWidth="1"/>
    <col min="20" max="20" width="11.375" customWidth="1"/>
    <col min="21" max="21" width="15.125" customWidth="1"/>
    <col min="23" max="23" width="12.625" customWidth="1"/>
  </cols>
  <sheetData>
    <row r="1" spans="1:26" ht="29.25" customHeight="1">
      <c r="A1" s="375" t="s">
        <v>323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</row>
    <row r="2" spans="1:26" ht="1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</row>
    <row r="3" spans="1:26">
      <c r="A3" s="380"/>
      <c r="B3" s="380"/>
      <c r="C3" s="380"/>
      <c r="D3" s="160"/>
      <c r="E3" s="160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8"/>
      <c r="S3" s="18"/>
      <c r="T3" s="18"/>
      <c r="V3" s="376" t="s">
        <v>32</v>
      </c>
      <c r="W3" s="376"/>
    </row>
    <row r="4" spans="1:26" ht="24.75" customHeight="1">
      <c r="A4" s="370" t="s">
        <v>0</v>
      </c>
      <c r="B4" s="370" t="s">
        <v>1</v>
      </c>
      <c r="C4" s="370" t="s">
        <v>230</v>
      </c>
      <c r="D4" s="370" t="s">
        <v>195</v>
      </c>
      <c r="E4" s="370" t="s">
        <v>193</v>
      </c>
      <c r="F4" s="367" t="s">
        <v>34</v>
      </c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77" t="s">
        <v>40</v>
      </c>
      <c r="R4" s="377"/>
      <c r="S4" s="377"/>
      <c r="T4" s="377"/>
      <c r="U4" s="377"/>
      <c r="V4" s="378" t="s">
        <v>2</v>
      </c>
      <c r="W4" s="379" t="s">
        <v>3</v>
      </c>
    </row>
    <row r="5" spans="1:26" ht="24.75" customHeight="1">
      <c r="A5" s="370"/>
      <c r="B5" s="370"/>
      <c r="C5" s="370"/>
      <c r="D5" s="370"/>
      <c r="E5" s="370"/>
      <c r="F5" s="371" t="s">
        <v>256</v>
      </c>
      <c r="G5" s="371"/>
      <c r="H5" s="367" t="s">
        <v>257</v>
      </c>
      <c r="I5" s="367"/>
      <c r="J5" s="381" t="s">
        <v>260</v>
      </c>
      <c r="K5" s="371" t="s">
        <v>258</v>
      </c>
      <c r="L5" s="371"/>
      <c r="M5" s="367" t="s">
        <v>259</v>
      </c>
      <c r="N5" s="367"/>
      <c r="O5" s="381" t="s">
        <v>260</v>
      </c>
      <c r="P5" s="367" t="s">
        <v>6</v>
      </c>
      <c r="Q5" s="377" t="s">
        <v>5</v>
      </c>
      <c r="R5" s="377"/>
      <c r="S5" s="377" t="s">
        <v>27</v>
      </c>
      <c r="T5" s="377"/>
      <c r="U5" s="377" t="s">
        <v>7</v>
      </c>
      <c r="V5" s="378"/>
      <c r="W5" s="379"/>
    </row>
    <row r="6" spans="1:26" ht="20.25" customHeight="1">
      <c r="A6" s="370"/>
      <c r="B6" s="370"/>
      <c r="C6" s="370"/>
      <c r="D6" s="370"/>
      <c r="E6" s="370"/>
      <c r="F6" s="193" t="s">
        <v>28</v>
      </c>
      <c r="G6" s="194" t="s">
        <v>9</v>
      </c>
      <c r="H6" s="195" t="s">
        <v>28</v>
      </c>
      <c r="I6" s="196" t="s">
        <v>9</v>
      </c>
      <c r="J6" s="381"/>
      <c r="K6" s="193" t="s">
        <v>8</v>
      </c>
      <c r="L6" s="194" t="s">
        <v>9</v>
      </c>
      <c r="M6" s="195" t="s">
        <v>8</v>
      </c>
      <c r="N6" s="196" t="s">
        <v>9</v>
      </c>
      <c r="O6" s="381"/>
      <c r="P6" s="367"/>
      <c r="Q6" s="197" t="s">
        <v>8</v>
      </c>
      <c r="R6" s="198" t="s">
        <v>29</v>
      </c>
      <c r="S6" s="198" t="s">
        <v>8</v>
      </c>
      <c r="T6" s="198" t="s">
        <v>9</v>
      </c>
      <c r="U6" s="377"/>
      <c r="V6" s="378"/>
      <c r="W6" s="379"/>
    </row>
    <row r="7" spans="1:26" ht="20.25" customHeight="1">
      <c r="A7" s="199">
        <v>1</v>
      </c>
      <c r="B7" s="200" t="s">
        <v>10</v>
      </c>
      <c r="C7" s="199"/>
      <c r="D7" s="199"/>
      <c r="E7" s="199"/>
      <c r="F7" s="204"/>
      <c r="G7" s="204"/>
      <c r="H7" s="204"/>
      <c r="I7" s="204"/>
      <c r="J7" s="231">
        <f>G7+I7</f>
        <v>0</v>
      </c>
      <c r="K7" s="204"/>
      <c r="L7" s="204"/>
      <c r="M7" s="204"/>
      <c r="N7" s="204"/>
      <c r="O7" s="231">
        <f>L7+N7</f>
        <v>0</v>
      </c>
      <c r="P7" s="201">
        <f>G7+I7+L7+N7</f>
        <v>0</v>
      </c>
      <c r="Q7" s="204"/>
      <c r="R7" s="204"/>
      <c r="S7" s="204"/>
      <c r="T7" s="204"/>
      <c r="U7" s="202">
        <f>SUM(R7+T7)</f>
        <v>0</v>
      </c>
      <c r="V7" s="203">
        <f>SUM(F7+H7+M7+K7+Q7+S7)</f>
        <v>0</v>
      </c>
      <c r="W7" s="203">
        <f>SUM(P7+U7)</f>
        <v>0</v>
      </c>
      <c r="Y7" s="1"/>
      <c r="Z7" s="1"/>
    </row>
    <row r="8" spans="1:26" ht="20.25" customHeight="1">
      <c r="A8" s="199">
        <v>2</v>
      </c>
      <c r="B8" s="200" t="s">
        <v>11</v>
      </c>
      <c r="C8" s="199"/>
      <c r="D8" s="199"/>
      <c r="E8" s="199"/>
      <c r="F8" s="204"/>
      <c r="G8" s="152"/>
      <c r="H8" s="204"/>
      <c r="I8" s="152"/>
      <c r="J8" s="231">
        <f t="shared" ref="J8:J24" si="0">G8+I8</f>
        <v>0</v>
      </c>
      <c r="K8" s="204"/>
      <c r="L8" s="204"/>
      <c r="M8" s="204"/>
      <c r="N8" s="204"/>
      <c r="O8" s="231">
        <f t="shared" ref="O8:O24" si="1">L8+N8</f>
        <v>0</v>
      </c>
      <c r="P8" s="201">
        <f t="shared" ref="P8:P23" si="2">G8+I8+L8+N8</f>
        <v>0</v>
      </c>
      <c r="Q8" s="204"/>
      <c r="R8" s="204"/>
      <c r="S8" s="204"/>
      <c r="T8" s="204"/>
      <c r="U8" s="202">
        <f t="shared" ref="U8:U24" si="3">SUM(R8+T8)</f>
        <v>0</v>
      </c>
      <c r="V8" s="203">
        <f t="shared" ref="V8:V24" si="4">SUM(F8+H8+M8+K8+Q8+S8)</f>
        <v>0</v>
      </c>
      <c r="W8" s="203">
        <f t="shared" ref="W8:W24" si="5">SUM(P8+U8)</f>
        <v>0</v>
      </c>
      <c r="Y8" s="1"/>
      <c r="Z8" s="1"/>
    </row>
    <row r="9" spans="1:26" ht="20.25" customHeight="1">
      <c r="A9" s="199">
        <v>3</v>
      </c>
      <c r="B9" s="200" t="s">
        <v>12</v>
      </c>
      <c r="C9" s="199"/>
      <c r="D9" s="199"/>
      <c r="E9" s="199"/>
      <c r="F9" s="278"/>
      <c r="G9" s="279"/>
      <c r="H9" s="278"/>
      <c r="I9" s="279"/>
      <c r="J9" s="231">
        <f t="shared" si="0"/>
        <v>0</v>
      </c>
      <c r="K9" s="280"/>
      <c r="L9" s="279"/>
      <c r="M9" s="280"/>
      <c r="N9" s="279"/>
      <c r="O9" s="231">
        <f t="shared" si="1"/>
        <v>0</v>
      </c>
      <c r="P9" s="201">
        <f t="shared" si="2"/>
        <v>0</v>
      </c>
      <c r="Q9" s="281"/>
      <c r="R9" s="282"/>
      <c r="S9" s="281"/>
      <c r="T9" s="282"/>
      <c r="U9" s="202">
        <f t="shared" si="3"/>
        <v>0</v>
      </c>
      <c r="V9" s="203">
        <f t="shared" si="4"/>
        <v>0</v>
      </c>
      <c r="W9" s="203">
        <f t="shared" si="5"/>
        <v>0</v>
      </c>
      <c r="Y9" s="1"/>
      <c r="Z9" s="1"/>
    </row>
    <row r="10" spans="1:26" ht="20.25" customHeight="1">
      <c r="A10" s="199">
        <v>4</v>
      </c>
      <c r="B10" s="200" t="s">
        <v>13</v>
      </c>
      <c r="C10" s="199"/>
      <c r="D10" s="199"/>
      <c r="E10" s="199"/>
      <c r="F10" s="283"/>
      <c r="G10" s="143"/>
      <c r="H10" s="283"/>
      <c r="I10" s="143"/>
      <c r="J10" s="231">
        <f t="shared" si="0"/>
        <v>0</v>
      </c>
      <c r="K10" s="268"/>
      <c r="L10" s="269"/>
      <c r="M10" s="268"/>
      <c r="N10" s="269"/>
      <c r="O10" s="231">
        <f t="shared" si="1"/>
        <v>0</v>
      </c>
      <c r="P10" s="201">
        <f t="shared" si="2"/>
        <v>0</v>
      </c>
      <c r="Q10" s="204"/>
      <c r="R10" s="204"/>
      <c r="S10" s="268"/>
      <c r="T10" s="269"/>
      <c r="U10" s="202">
        <f t="shared" si="3"/>
        <v>0</v>
      </c>
      <c r="V10" s="203">
        <f t="shared" si="4"/>
        <v>0</v>
      </c>
      <c r="W10" s="203">
        <f t="shared" si="5"/>
        <v>0</v>
      </c>
      <c r="Y10" s="1"/>
      <c r="Z10" s="1"/>
    </row>
    <row r="11" spans="1:26" ht="20.25" customHeight="1">
      <c r="A11" s="199">
        <v>5</v>
      </c>
      <c r="B11" s="200" t="s">
        <v>14</v>
      </c>
      <c r="C11" s="199"/>
      <c r="D11" s="199"/>
      <c r="E11" s="199"/>
      <c r="F11" s="142"/>
      <c r="G11" s="152"/>
      <c r="H11" s="142"/>
      <c r="I11" s="152"/>
      <c r="J11" s="231">
        <f t="shared" si="0"/>
        <v>0</v>
      </c>
      <c r="K11" s="152"/>
      <c r="L11" s="152"/>
      <c r="M11" s="152"/>
      <c r="N11" s="152"/>
      <c r="O11" s="231">
        <f t="shared" si="1"/>
        <v>0</v>
      </c>
      <c r="P11" s="201">
        <f t="shared" si="2"/>
        <v>0</v>
      </c>
      <c r="Q11" s="152"/>
      <c r="R11" s="152"/>
      <c r="S11" s="152"/>
      <c r="T11" s="152"/>
      <c r="U11" s="202">
        <f t="shared" si="3"/>
        <v>0</v>
      </c>
      <c r="V11" s="203">
        <f t="shared" si="4"/>
        <v>0</v>
      </c>
      <c r="W11" s="203">
        <f t="shared" si="5"/>
        <v>0</v>
      </c>
      <c r="Y11" s="1"/>
      <c r="Z11" s="1"/>
    </row>
    <row r="12" spans="1:26" ht="20.25" customHeight="1">
      <c r="A12" s="199">
        <v>6</v>
      </c>
      <c r="B12" s="200" t="s">
        <v>15</v>
      </c>
      <c r="C12" s="199"/>
      <c r="D12" s="199"/>
      <c r="E12" s="199"/>
      <c r="F12" s="242"/>
      <c r="G12" s="242"/>
      <c r="H12" s="242"/>
      <c r="I12" s="242"/>
      <c r="J12" s="231">
        <f t="shared" si="0"/>
        <v>0</v>
      </c>
      <c r="K12" s="152"/>
      <c r="L12" s="284"/>
      <c r="M12" s="152"/>
      <c r="N12" s="284"/>
      <c r="O12" s="231">
        <f t="shared" si="1"/>
        <v>0</v>
      </c>
      <c r="P12" s="201">
        <f t="shared" si="2"/>
        <v>0</v>
      </c>
      <c r="Q12" s="152"/>
      <c r="R12" s="152"/>
      <c r="S12" s="152"/>
      <c r="T12" s="152"/>
      <c r="U12" s="202">
        <f t="shared" si="3"/>
        <v>0</v>
      </c>
      <c r="V12" s="203">
        <f t="shared" si="4"/>
        <v>0</v>
      </c>
      <c r="W12" s="203">
        <f t="shared" si="5"/>
        <v>0</v>
      </c>
      <c r="Y12" s="1"/>
      <c r="Z12" s="1"/>
    </row>
    <row r="13" spans="1:26" ht="20.25" customHeight="1">
      <c r="A13" s="199">
        <v>7</v>
      </c>
      <c r="B13" s="200" t="s">
        <v>255</v>
      </c>
      <c r="C13" s="199"/>
      <c r="D13" s="190"/>
      <c r="E13" s="190"/>
      <c r="F13" s="242"/>
      <c r="G13" s="242"/>
      <c r="H13" s="242"/>
      <c r="I13" s="242"/>
      <c r="J13" s="231">
        <f t="shared" si="0"/>
        <v>0</v>
      </c>
      <c r="K13" s="270"/>
      <c r="L13" s="271"/>
      <c r="M13" s="270"/>
      <c r="N13" s="271"/>
      <c r="O13" s="231">
        <f t="shared" si="1"/>
        <v>0</v>
      </c>
      <c r="P13" s="201">
        <f t="shared" si="2"/>
        <v>0</v>
      </c>
      <c r="Q13" s="152"/>
      <c r="R13" s="152"/>
      <c r="S13" s="270"/>
      <c r="T13" s="271"/>
      <c r="U13" s="202">
        <f t="shared" si="3"/>
        <v>0</v>
      </c>
      <c r="V13" s="203">
        <f t="shared" si="4"/>
        <v>0</v>
      </c>
      <c r="W13" s="203">
        <f t="shared" si="5"/>
        <v>0</v>
      </c>
      <c r="Y13" s="1"/>
      <c r="Z13" s="1"/>
    </row>
    <row r="14" spans="1:26" ht="20.25" customHeight="1">
      <c r="A14" s="199">
        <v>8</v>
      </c>
      <c r="B14" s="210" t="s">
        <v>17</v>
      </c>
      <c r="C14" s="199"/>
      <c r="D14" s="190"/>
      <c r="E14" s="190"/>
      <c r="F14" s="285"/>
      <c r="G14" s="143"/>
      <c r="H14" s="285"/>
      <c r="I14" s="143"/>
      <c r="J14" s="231">
        <f t="shared" si="0"/>
        <v>0</v>
      </c>
      <c r="K14" s="285"/>
      <c r="L14" s="143"/>
      <c r="M14" s="285"/>
      <c r="N14" s="143"/>
      <c r="O14" s="231">
        <f t="shared" si="1"/>
        <v>0</v>
      </c>
      <c r="P14" s="201">
        <f t="shared" si="2"/>
        <v>0</v>
      </c>
      <c r="Q14" s="286"/>
      <c r="R14" s="152"/>
      <c r="S14" s="152"/>
      <c r="T14" s="152"/>
      <c r="U14" s="202">
        <f t="shared" si="3"/>
        <v>0</v>
      </c>
      <c r="V14" s="203">
        <f t="shared" si="4"/>
        <v>0</v>
      </c>
      <c r="W14" s="203">
        <f t="shared" si="5"/>
        <v>0</v>
      </c>
      <c r="Y14" s="1"/>
      <c r="Z14" s="1"/>
    </row>
    <row r="15" spans="1:26" ht="20.25" customHeight="1">
      <c r="A15" s="199">
        <v>9</v>
      </c>
      <c r="B15" s="210" t="s">
        <v>18</v>
      </c>
      <c r="C15" s="199"/>
      <c r="D15" s="199"/>
      <c r="E15" s="199"/>
      <c r="F15" s="287"/>
      <c r="G15" s="288"/>
      <c r="H15" s="287"/>
      <c r="I15" s="288"/>
      <c r="J15" s="231">
        <f t="shared" si="0"/>
        <v>0</v>
      </c>
      <c r="K15" s="152"/>
      <c r="L15" s="284"/>
      <c r="M15" s="152"/>
      <c r="N15" s="284"/>
      <c r="O15" s="231">
        <f t="shared" si="1"/>
        <v>0</v>
      </c>
      <c r="P15" s="201">
        <f t="shared" si="2"/>
        <v>0</v>
      </c>
      <c r="Q15" s="152"/>
      <c r="R15" s="152"/>
      <c r="S15" s="152"/>
      <c r="T15" s="152"/>
      <c r="U15" s="202">
        <f t="shared" si="3"/>
        <v>0</v>
      </c>
      <c r="V15" s="203">
        <f t="shared" si="4"/>
        <v>0</v>
      </c>
      <c r="W15" s="203">
        <f t="shared" si="5"/>
        <v>0</v>
      </c>
      <c r="Y15" s="1"/>
      <c r="Z15" s="1"/>
    </row>
    <row r="16" spans="1:26" ht="20.25" customHeight="1">
      <c r="A16" s="199">
        <v>10</v>
      </c>
      <c r="B16" s="210" t="s">
        <v>19</v>
      </c>
      <c r="C16" s="199"/>
      <c r="D16" s="199"/>
      <c r="E16" s="199"/>
      <c r="F16" s="142"/>
      <c r="G16" s="242"/>
      <c r="H16" s="142"/>
      <c r="I16" s="242"/>
      <c r="J16" s="231">
        <f t="shared" si="0"/>
        <v>0</v>
      </c>
      <c r="K16" s="272"/>
      <c r="L16" s="217"/>
      <c r="M16" s="272"/>
      <c r="N16" s="217"/>
      <c r="O16" s="231">
        <f t="shared" si="1"/>
        <v>0</v>
      </c>
      <c r="P16" s="201">
        <f t="shared" si="2"/>
        <v>0</v>
      </c>
      <c r="Q16" s="152"/>
      <c r="R16" s="152"/>
      <c r="S16" s="272"/>
      <c r="T16" s="217"/>
      <c r="U16" s="202">
        <f t="shared" si="3"/>
        <v>0</v>
      </c>
      <c r="V16" s="203">
        <f t="shared" si="4"/>
        <v>0</v>
      </c>
      <c r="W16" s="203">
        <f t="shared" si="5"/>
        <v>0</v>
      </c>
      <c r="Y16" s="1"/>
      <c r="Z16" s="1"/>
    </row>
    <row r="17" spans="1:26" ht="20.25" customHeight="1">
      <c r="A17" s="199">
        <v>11</v>
      </c>
      <c r="B17" s="210" t="s">
        <v>20</v>
      </c>
      <c r="C17" s="199"/>
      <c r="D17" s="190"/>
      <c r="E17" s="190"/>
      <c r="F17" s="252"/>
      <c r="G17" s="253"/>
      <c r="H17" s="252"/>
      <c r="I17" s="253"/>
      <c r="J17" s="231">
        <f t="shared" si="0"/>
        <v>0</v>
      </c>
      <c r="K17" s="270"/>
      <c r="L17" s="271"/>
      <c r="M17" s="270"/>
      <c r="N17" s="271"/>
      <c r="O17" s="231">
        <f t="shared" si="1"/>
        <v>0</v>
      </c>
      <c r="P17" s="201">
        <f t="shared" si="2"/>
        <v>0</v>
      </c>
      <c r="Q17" s="152"/>
      <c r="R17" s="152"/>
      <c r="S17" s="270"/>
      <c r="T17" s="271"/>
      <c r="U17" s="202">
        <f t="shared" si="3"/>
        <v>0</v>
      </c>
      <c r="V17" s="203">
        <f t="shared" si="4"/>
        <v>0</v>
      </c>
      <c r="W17" s="203">
        <f t="shared" si="5"/>
        <v>0</v>
      </c>
      <c r="Y17" s="1"/>
      <c r="Z17" s="1"/>
    </row>
    <row r="18" spans="1:26" ht="20.25" customHeight="1">
      <c r="A18" s="199">
        <v>12</v>
      </c>
      <c r="B18" s="210" t="s">
        <v>21</v>
      </c>
      <c r="C18" s="199"/>
      <c r="D18" s="199"/>
      <c r="E18" s="199"/>
      <c r="F18" s="289"/>
      <c r="G18" s="290"/>
      <c r="H18" s="289"/>
      <c r="I18" s="290"/>
      <c r="J18" s="231">
        <f t="shared" si="0"/>
        <v>0</v>
      </c>
      <c r="K18" s="273"/>
      <c r="L18" s="274"/>
      <c r="M18" s="273"/>
      <c r="N18" s="274"/>
      <c r="O18" s="231">
        <f t="shared" si="1"/>
        <v>0</v>
      </c>
      <c r="P18" s="201">
        <f t="shared" si="2"/>
        <v>0</v>
      </c>
      <c r="Q18" s="152"/>
      <c r="R18" s="152"/>
      <c r="S18" s="273"/>
      <c r="T18" s="274"/>
      <c r="U18" s="202">
        <f t="shared" si="3"/>
        <v>0</v>
      </c>
      <c r="V18" s="203">
        <f t="shared" si="4"/>
        <v>0</v>
      </c>
      <c r="W18" s="203">
        <f t="shared" si="5"/>
        <v>0</v>
      </c>
      <c r="Y18" s="1"/>
      <c r="Z18" s="1"/>
    </row>
    <row r="19" spans="1:26" ht="20.25" customHeight="1">
      <c r="A19" s="199">
        <v>13</v>
      </c>
      <c r="B19" s="210" t="s">
        <v>30</v>
      </c>
      <c r="C19" s="199"/>
      <c r="D19" s="199"/>
      <c r="E19" s="199"/>
      <c r="F19" s="291"/>
      <c r="G19" s="292"/>
      <c r="H19" s="291"/>
      <c r="I19" s="292"/>
      <c r="J19" s="231">
        <f t="shared" si="0"/>
        <v>0</v>
      </c>
      <c r="K19" s="272"/>
      <c r="L19" s="217"/>
      <c r="M19" s="272"/>
      <c r="N19" s="217"/>
      <c r="O19" s="231">
        <f t="shared" si="1"/>
        <v>0</v>
      </c>
      <c r="P19" s="201">
        <f t="shared" si="2"/>
        <v>0</v>
      </c>
      <c r="Q19" s="293"/>
      <c r="R19" s="293"/>
      <c r="S19" s="272"/>
      <c r="T19" s="217"/>
      <c r="U19" s="202">
        <f t="shared" si="3"/>
        <v>0</v>
      </c>
      <c r="V19" s="203">
        <f t="shared" si="4"/>
        <v>0</v>
      </c>
      <c r="W19" s="203">
        <f t="shared" si="5"/>
        <v>0</v>
      </c>
      <c r="Y19" s="1"/>
      <c r="Z19" s="1"/>
    </row>
    <row r="20" spans="1:26" ht="20.25" customHeight="1">
      <c r="A20" s="199">
        <v>14</v>
      </c>
      <c r="B20" s="210" t="s">
        <v>22</v>
      </c>
      <c r="C20" s="199"/>
      <c r="D20" s="190"/>
      <c r="E20" s="190"/>
      <c r="F20" s="294"/>
      <c r="G20" s="294"/>
      <c r="H20" s="294"/>
      <c r="I20" s="294"/>
      <c r="J20" s="231">
        <f t="shared" si="0"/>
        <v>0</v>
      </c>
      <c r="K20" s="275"/>
      <c r="L20" s="276"/>
      <c r="M20" s="275"/>
      <c r="N20" s="276"/>
      <c r="O20" s="231">
        <f t="shared" si="1"/>
        <v>0</v>
      </c>
      <c r="P20" s="201">
        <f t="shared" si="2"/>
        <v>0</v>
      </c>
      <c r="Q20" s="280"/>
      <c r="R20" s="280"/>
      <c r="S20" s="275"/>
      <c r="T20" s="276"/>
      <c r="U20" s="202">
        <f t="shared" si="3"/>
        <v>0</v>
      </c>
      <c r="V20" s="203">
        <f t="shared" si="4"/>
        <v>0</v>
      </c>
      <c r="W20" s="203">
        <f t="shared" si="5"/>
        <v>0</v>
      </c>
      <c r="Y20" s="1"/>
      <c r="Z20" s="1"/>
    </row>
    <row r="21" spans="1:26" ht="20.25" customHeight="1">
      <c r="A21" s="199">
        <v>15</v>
      </c>
      <c r="B21" s="210" t="s">
        <v>23</v>
      </c>
      <c r="C21" s="199"/>
      <c r="D21" s="190"/>
      <c r="E21" s="190"/>
      <c r="F21" s="217"/>
      <c r="G21" s="218"/>
      <c r="H21" s="217"/>
      <c r="I21" s="218"/>
      <c r="J21" s="231">
        <f t="shared" si="0"/>
        <v>0</v>
      </c>
      <c r="K21" s="272"/>
      <c r="L21" s="217"/>
      <c r="M21" s="272"/>
      <c r="N21" s="217"/>
      <c r="O21" s="231">
        <f t="shared" si="1"/>
        <v>0</v>
      </c>
      <c r="P21" s="201">
        <f t="shared" si="2"/>
        <v>0</v>
      </c>
      <c r="Q21" s="152"/>
      <c r="R21" s="152"/>
      <c r="S21" s="272"/>
      <c r="T21" s="217"/>
      <c r="U21" s="202">
        <f t="shared" si="3"/>
        <v>0</v>
      </c>
      <c r="V21" s="203">
        <f t="shared" si="4"/>
        <v>0</v>
      </c>
      <c r="W21" s="203">
        <f t="shared" si="5"/>
        <v>0</v>
      </c>
      <c r="Y21" s="1"/>
      <c r="Z21" s="1"/>
    </row>
    <row r="22" spans="1:26" ht="20.25" customHeight="1">
      <c r="A22" s="199">
        <v>16</v>
      </c>
      <c r="B22" s="210" t="s">
        <v>24</v>
      </c>
      <c r="C22" s="199"/>
      <c r="D22" s="199"/>
      <c r="E22" s="199"/>
      <c r="F22" s="284"/>
      <c r="G22" s="242"/>
      <c r="H22" s="284"/>
      <c r="I22" s="242"/>
      <c r="J22" s="231">
        <f t="shared" si="0"/>
        <v>0</v>
      </c>
      <c r="K22" s="272"/>
      <c r="L22" s="217"/>
      <c r="M22" s="272"/>
      <c r="N22" s="217"/>
      <c r="O22" s="231">
        <f t="shared" si="1"/>
        <v>0</v>
      </c>
      <c r="P22" s="201">
        <f t="shared" si="2"/>
        <v>0</v>
      </c>
      <c r="Q22" s="152"/>
      <c r="R22" s="152"/>
      <c r="S22" s="272"/>
      <c r="T22" s="217"/>
      <c r="U22" s="202">
        <f t="shared" si="3"/>
        <v>0</v>
      </c>
      <c r="V22" s="203">
        <f t="shared" si="4"/>
        <v>0</v>
      </c>
      <c r="W22" s="203">
        <f t="shared" si="5"/>
        <v>0</v>
      </c>
      <c r="Y22" s="1"/>
      <c r="Z22" s="1"/>
    </row>
    <row r="23" spans="1:26" s="224" customFormat="1" ht="20.25" customHeight="1">
      <c r="A23" s="199">
        <v>17</v>
      </c>
      <c r="B23" s="210" t="s">
        <v>33</v>
      </c>
      <c r="C23" s="199"/>
      <c r="D23" s="199"/>
      <c r="E23" s="199"/>
      <c r="F23" s="289"/>
      <c r="G23" s="295"/>
      <c r="H23" s="289"/>
      <c r="I23" s="295"/>
      <c r="J23" s="231">
        <f t="shared" si="0"/>
        <v>0</v>
      </c>
      <c r="K23" s="296"/>
      <c r="L23" s="221"/>
      <c r="M23" s="296"/>
      <c r="N23" s="221"/>
      <c r="O23" s="231">
        <f t="shared" si="1"/>
        <v>0</v>
      </c>
      <c r="P23" s="201">
        <f t="shared" si="2"/>
        <v>0</v>
      </c>
      <c r="Q23" s="297"/>
      <c r="R23" s="298"/>
      <c r="S23" s="297"/>
      <c r="T23" s="297"/>
      <c r="U23" s="202">
        <f t="shared" si="3"/>
        <v>0</v>
      </c>
      <c r="V23" s="203">
        <f t="shared" si="4"/>
        <v>0</v>
      </c>
      <c r="W23" s="203">
        <f t="shared" si="5"/>
        <v>0</v>
      </c>
      <c r="Y23" s="1"/>
      <c r="Z23" s="1"/>
    </row>
    <row r="24" spans="1:26" ht="20.25" customHeight="1">
      <c r="A24" s="199">
        <v>18</v>
      </c>
      <c r="B24" s="210" t="s">
        <v>25</v>
      </c>
      <c r="C24" s="199"/>
      <c r="D24" s="199"/>
      <c r="E24" s="199"/>
      <c r="F24" s="284"/>
      <c r="G24" s="152"/>
      <c r="H24" s="284"/>
      <c r="I24" s="152"/>
      <c r="J24" s="231">
        <f t="shared" si="0"/>
        <v>0</v>
      </c>
      <c r="K24" s="270"/>
      <c r="L24" s="270"/>
      <c r="M24" s="270"/>
      <c r="N24" s="270"/>
      <c r="O24" s="231">
        <f t="shared" si="1"/>
        <v>0</v>
      </c>
      <c r="P24" s="201">
        <f>G24+I24+L24+N24</f>
        <v>0</v>
      </c>
      <c r="Q24" s="152"/>
      <c r="R24" s="142"/>
      <c r="S24" s="272"/>
      <c r="T24" s="277"/>
      <c r="U24" s="202">
        <f t="shared" si="3"/>
        <v>0</v>
      </c>
      <c r="V24" s="203">
        <f t="shared" si="4"/>
        <v>0</v>
      </c>
      <c r="W24" s="203">
        <f t="shared" si="5"/>
        <v>0</v>
      </c>
      <c r="Y24" s="1"/>
      <c r="Z24" s="1"/>
    </row>
    <row r="25" spans="1:26" ht="20.25" customHeight="1">
      <c r="A25" s="382" t="s">
        <v>26</v>
      </c>
      <c r="B25" s="382"/>
      <c r="C25" s="382"/>
      <c r="D25" s="382"/>
      <c r="E25" s="382"/>
      <c r="F25" s="226">
        <f>SUM(F7:F24)</f>
        <v>0</v>
      </c>
      <c r="G25" s="226">
        <f t="shared" ref="G25:T25" si="6">SUM(G7:G24)</f>
        <v>0</v>
      </c>
      <c r="H25" s="227">
        <f>SUM(H7:H24)</f>
        <v>0</v>
      </c>
      <c r="I25" s="227">
        <f t="shared" ref="I25" si="7">SUM(I7:I24)</f>
        <v>0</v>
      </c>
      <c r="J25" s="266">
        <f>G25+I25</f>
        <v>0</v>
      </c>
      <c r="K25" s="226">
        <f t="shared" ref="K25:L25" si="8">SUM(K7:K24)</f>
        <v>0</v>
      </c>
      <c r="L25" s="226">
        <f t="shared" si="8"/>
        <v>0</v>
      </c>
      <c r="M25" s="227">
        <f t="shared" si="6"/>
        <v>0</v>
      </c>
      <c r="N25" s="227">
        <f t="shared" si="6"/>
        <v>0</v>
      </c>
      <c r="O25" s="231">
        <f t="shared" ref="O25" si="9">K25+N25</f>
        <v>0</v>
      </c>
      <c r="P25" s="228">
        <f>SUM(P7:P24)</f>
        <v>0</v>
      </c>
      <c r="Q25" s="227">
        <f t="shared" si="6"/>
        <v>0</v>
      </c>
      <c r="R25" s="227">
        <f>SUM(R7:R24)</f>
        <v>0</v>
      </c>
      <c r="S25" s="227">
        <f t="shared" si="6"/>
        <v>0</v>
      </c>
      <c r="T25" s="227">
        <f t="shared" si="6"/>
        <v>0</v>
      </c>
      <c r="U25" s="202">
        <f>SUM(U7:U24)</f>
        <v>0</v>
      </c>
      <c r="V25" s="229">
        <f>SUM(V7:V24)</f>
        <v>0</v>
      </c>
      <c r="W25" s="203">
        <f>SUM(W7:W24)</f>
        <v>0</v>
      </c>
      <c r="Y25" s="1"/>
      <c r="Z25" s="1"/>
    </row>
    <row r="26" spans="1:26">
      <c r="F26" s="230"/>
      <c r="G26" s="230"/>
      <c r="H26" s="230"/>
      <c r="I26" s="230"/>
      <c r="J26" s="230"/>
      <c r="K26" s="230"/>
      <c r="L26" s="230"/>
      <c r="M26" s="230"/>
      <c r="N26" s="230"/>
      <c r="O26" s="230"/>
    </row>
    <row r="27" spans="1:26">
      <c r="A27" s="88" t="s">
        <v>251</v>
      </c>
    </row>
  </sheetData>
  <mergeCells count="23">
    <mergeCell ref="A1:W1"/>
    <mergeCell ref="V3:W3"/>
    <mergeCell ref="F4:P4"/>
    <mergeCell ref="Q4:U4"/>
    <mergeCell ref="V4:V6"/>
    <mergeCell ref="W4:W6"/>
    <mergeCell ref="P5:P6"/>
    <mergeCell ref="S5:T5"/>
    <mergeCell ref="U5:U6"/>
    <mergeCell ref="Q5:R5"/>
    <mergeCell ref="F5:G5"/>
    <mergeCell ref="A3:C3"/>
    <mergeCell ref="H5:I5"/>
    <mergeCell ref="J5:J6"/>
    <mergeCell ref="K5:L5"/>
    <mergeCell ref="M5:N5"/>
    <mergeCell ref="O5:O6"/>
    <mergeCell ref="A25:E25"/>
    <mergeCell ref="A4:A6"/>
    <mergeCell ref="B4:B6"/>
    <mergeCell ref="C4:C6"/>
    <mergeCell ref="D4:D6"/>
    <mergeCell ref="E4:E6"/>
  </mergeCells>
  <phoneticPr fontId="35" type="noConversion"/>
  <pageMargins left="0.23622047244094491" right="0.15748031496062992" top="0.70866141732283472" bottom="0.51181102362204722" header="0.43307086614173229" footer="0.31496062992125984"/>
  <pageSetup paperSize="9"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H10"/>
  <sheetViews>
    <sheetView showGridLines="0" zoomScale="85" zoomScaleNormal="85" workbookViewId="0">
      <selection sqref="A1:H1"/>
    </sheetView>
  </sheetViews>
  <sheetFormatPr defaultRowHeight="16.5"/>
  <cols>
    <col min="1" max="1" width="4.875" customWidth="1"/>
    <col min="2" max="2" width="12.25" customWidth="1"/>
    <col min="3" max="3" width="18.625" customWidth="1"/>
    <col min="4" max="4" width="26.875" customWidth="1"/>
    <col min="5" max="5" width="18.625" customWidth="1"/>
    <col min="6" max="6" width="26.875" customWidth="1"/>
    <col min="7" max="7" width="18.625" customWidth="1"/>
    <col min="8" max="8" width="26.875" customWidth="1"/>
  </cols>
  <sheetData>
    <row r="1" spans="1:8" ht="30.75" customHeight="1">
      <c r="A1" s="390" t="s">
        <v>51</v>
      </c>
      <c r="B1" s="390"/>
      <c r="C1" s="390"/>
      <c r="D1" s="390"/>
      <c r="E1" s="390"/>
      <c r="F1" s="390"/>
      <c r="G1" s="390"/>
      <c r="H1" s="390"/>
    </row>
    <row r="2" spans="1:8" ht="18.75">
      <c r="A2" s="161"/>
      <c r="B2" s="161"/>
      <c r="C2" s="161"/>
      <c r="D2" s="161"/>
      <c r="E2" s="161"/>
      <c r="F2" s="161"/>
      <c r="G2" s="161"/>
      <c r="H2" s="161"/>
    </row>
    <row r="3" spans="1:8" ht="18.75">
      <c r="A3" s="161"/>
      <c r="B3" s="161"/>
      <c r="C3" s="161"/>
      <c r="D3" s="161"/>
      <c r="E3" s="161"/>
      <c r="F3" s="161"/>
      <c r="G3" s="376" t="s">
        <v>32</v>
      </c>
      <c r="H3" s="376"/>
    </row>
    <row r="4" spans="1:8" ht="25.5" customHeight="1">
      <c r="A4" s="383" t="s">
        <v>0</v>
      </c>
      <c r="B4" s="383" t="s">
        <v>37</v>
      </c>
      <c r="C4" s="388" t="s">
        <v>34</v>
      </c>
      <c r="D4" s="391"/>
      <c r="E4" s="391"/>
      <c r="F4" s="391"/>
      <c r="G4" s="391"/>
      <c r="H4" s="389"/>
    </row>
    <row r="5" spans="1:8" ht="25.5" customHeight="1">
      <c r="A5" s="384"/>
      <c r="B5" s="384"/>
      <c r="C5" s="386" t="s">
        <v>237</v>
      </c>
      <c r="D5" s="387"/>
      <c r="E5" s="388" t="s">
        <v>238</v>
      </c>
      <c r="F5" s="389"/>
      <c r="G5" s="388" t="s">
        <v>38</v>
      </c>
      <c r="H5" s="389"/>
    </row>
    <row r="6" spans="1:8" ht="25.5" customHeight="1">
      <c r="A6" s="385"/>
      <c r="B6" s="385"/>
      <c r="C6" s="165" t="s">
        <v>28</v>
      </c>
      <c r="D6" s="165" t="s">
        <v>9</v>
      </c>
      <c r="E6" s="35" t="s">
        <v>28</v>
      </c>
      <c r="F6" s="35" t="s">
        <v>9</v>
      </c>
      <c r="G6" s="36" t="s">
        <v>8</v>
      </c>
      <c r="H6" s="36" t="s">
        <v>9</v>
      </c>
    </row>
    <row r="7" spans="1:8" ht="25.5" customHeight="1">
      <c r="A7" s="33" t="s">
        <v>54</v>
      </c>
      <c r="B7" s="34" t="s">
        <v>239</v>
      </c>
      <c r="C7" s="32"/>
      <c r="D7" s="32"/>
      <c r="E7" s="32"/>
      <c r="F7" s="32"/>
      <c r="G7" s="37">
        <f>C7+E7</f>
        <v>0</v>
      </c>
      <c r="H7" s="37">
        <f>D7+F7</f>
        <v>0</v>
      </c>
    </row>
    <row r="9" spans="1:8">
      <c r="A9" s="3" t="s">
        <v>63</v>
      </c>
    </row>
    <row r="10" spans="1:8">
      <c r="A10" t="s">
        <v>240</v>
      </c>
    </row>
  </sheetData>
  <mergeCells count="8">
    <mergeCell ref="A4:A6"/>
    <mergeCell ref="B4:B6"/>
    <mergeCell ref="C5:D5"/>
    <mergeCell ref="E5:F5"/>
    <mergeCell ref="A1:H1"/>
    <mergeCell ref="G3:H3"/>
    <mergeCell ref="C4:H4"/>
    <mergeCell ref="G5:H5"/>
  </mergeCells>
  <phoneticPr fontId="35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10"/>
  <sheetViews>
    <sheetView showGridLines="0" zoomScale="85" zoomScaleNormal="85" workbookViewId="0">
      <selection sqref="A1:L1"/>
    </sheetView>
  </sheetViews>
  <sheetFormatPr defaultRowHeight="16.5"/>
  <cols>
    <col min="1" max="1" width="4.875" customWidth="1"/>
    <col min="2" max="2" width="12.25" customWidth="1"/>
    <col min="3" max="3" width="12.375" customWidth="1"/>
    <col min="4" max="4" width="18.875" customWidth="1"/>
    <col min="5" max="5" width="12.375" customWidth="1"/>
    <col min="6" max="6" width="18.875" customWidth="1"/>
    <col min="7" max="7" width="12.375" customWidth="1"/>
    <col min="8" max="8" width="18.875" customWidth="1"/>
    <col min="9" max="9" width="12.375" customWidth="1"/>
    <col min="10" max="10" width="18.875" customWidth="1"/>
    <col min="11" max="11" width="12.375" customWidth="1"/>
    <col min="12" max="12" width="18.875" customWidth="1"/>
  </cols>
  <sheetData>
    <row r="1" spans="1:12" ht="30.75" customHeight="1">
      <c r="A1" s="390" t="s">
        <v>51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</row>
    <row r="2" spans="1:12" ht="18.7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2" ht="18.7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376" t="s">
        <v>32</v>
      </c>
      <c r="L3" s="376"/>
    </row>
    <row r="4" spans="1:12" ht="25.5" customHeight="1">
      <c r="A4" s="383" t="s">
        <v>0</v>
      </c>
      <c r="B4" s="383" t="s">
        <v>37</v>
      </c>
      <c r="C4" s="391" t="s">
        <v>34</v>
      </c>
      <c r="D4" s="391"/>
      <c r="E4" s="391"/>
      <c r="F4" s="391"/>
      <c r="G4" s="391"/>
      <c r="H4" s="391"/>
      <c r="I4" s="391"/>
      <c r="J4" s="391"/>
      <c r="K4" s="391"/>
      <c r="L4" s="389"/>
    </row>
    <row r="5" spans="1:12" ht="25.5" customHeight="1">
      <c r="A5" s="384"/>
      <c r="B5" s="384"/>
      <c r="C5" s="386" t="s">
        <v>241</v>
      </c>
      <c r="D5" s="387"/>
      <c r="E5" s="388" t="s">
        <v>242</v>
      </c>
      <c r="F5" s="389"/>
      <c r="G5" s="386" t="s">
        <v>243</v>
      </c>
      <c r="H5" s="387"/>
      <c r="I5" s="388" t="s">
        <v>244</v>
      </c>
      <c r="J5" s="389"/>
      <c r="K5" s="388" t="s">
        <v>38</v>
      </c>
      <c r="L5" s="389"/>
    </row>
    <row r="6" spans="1:12" ht="25.5" customHeight="1">
      <c r="A6" s="385"/>
      <c r="B6" s="385"/>
      <c r="C6" s="165" t="s">
        <v>8</v>
      </c>
      <c r="D6" s="165" t="s">
        <v>9</v>
      </c>
      <c r="E6" s="35" t="s">
        <v>8</v>
      </c>
      <c r="F6" s="35" t="s">
        <v>9</v>
      </c>
      <c r="G6" s="165" t="s">
        <v>8</v>
      </c>
      <c r="H6" s="165" t="s">
        <v>9</v>
      </c>
      <c r="I6" s="35" t="s">
        <v>8</v>
      </c>
      <c r="J6" s="35" t="s">
        <v>9</v>
      </c>
      <c r="K6" s="36" t="s">
        <v>8</v>
      </c>
      <c r="L6" s="36" t="s">
        <v>9</v>
      </c>
    </row>
    <row r="7" spans="1:12" ht="25.5" customHeight="1">
      <c r="A7" s="33" t="s">
        <v>54</v>
      </c>
      <c r="B7" s="34" t="s">
        <v>53</v>
      </c>
      <c r="C7" s="32"/>
      <c r="D7" s="32"/>
      <c r="E7" s="32"/>
      <c r="F7" s="32"/>
      <c r="G7" s="32"/>
      <c r="H7" s="32"/>
      <c r="I7" s="32"/>
      <c r="J7" s="32"/>
      <c r="K7" s="37">
        <f>C7+E7+G7+I7</f>
        <v>0</v>
      </c>
      <c r="L7" s="37">
        <f>D7+F7+H7+J7</f>
        <v>0</v>
      </c>
    </row>
    <row r="9" spans="1:12">
      <c r="A9" s="3" t="s">
        <v>63</v>
      </c>
    </row>
    <row r="10" spans="1:12">
      <c r="A10" t="s">
        <v>240</v>
      </c>
    </row>
  </sheetData>
  <mergeCells count="10">
    <mergeCell ref="A1:L1"/>
    <mergeCell ref="K3:L3"/>
    <mergeCell ref="C4:L4"/>
    <mergeCell ref="I5:J5"/>
    <mergeCell ref="K5:L5"/>
    <mergeCell ref="G5:H5"/>
    <mergeCell ref="A4:A6"/>
    <mergeCell ref="B4:B6"/>
    <mergeCell ref="C5:D5"/>
    <mergeCell ref="E5:F5"/>
  </mergeCells>
  <phoneticPr fontId="35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10"/>
  <sheetViews>
    <sheetView showGridLines="0" zoomScale="85" zoomScaleNormal="85" workbookViewId="0">
      <selection sqref="A1:L1"/>
    </sheetView>
  </sheetViews>
  <sheetFormatPr defaultRowHeight="16.5"/>
  <cols>
    <col min="1" max="1" width="7.375" customWidth="1"/>
    <col min="2" max="2" width="17.375" customWidth="1"/>
    <col min="3" max="3" width="12.625" customWidth="1"/>
    <col min="4" max="4" width="18.625" customWidth="1"/>
    <col min="5" max="5" width="12.625" customWidth="1"/>
    <col min="6" max="6" width="18.625" customWidth="1"/>
    <col min="7" max="7" width="12.625" customWidth="1"/>
    <col min="8" max="8" width="18.625" customWidth="1"/>
    <col min="9" max="9" width="12.625" customWidth="1"/>
    <col min="10" max="10" width="18.625" customWidth="1"/>
    <col min="11" max="11" width="12.625" customWidth="1"/>
    <col min="12" max="12" width="18.625" customWidth="1"/>
  </cols>
  <sheetData>
    <row r="1" spans="1:12" ht="30.75" customHeight="1">
      <c r="A1" s="390" t="s">
        <v>51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</row>
    <row r="2" spans="1:12" ht="18.75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3" spans="1:12" ht="18.75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376" t="s">
        <v>32</v>
      </c>
      <c r="L3" s="376"/>
    </row>
    <row r="4" spans="1:12" ht="25.5" customHeight="1">
      <c r="A4" s="383" t="s">
        <v>0</v>
      </c>
      <c r="B4" s="383" t="s">
        <v>37</v>
      </c>
      <c r="C4" s="391" t="s">
        <v>34</v>
      </c>
      <c r="D4" s="391"/>
      <c r="E4" s="391"/>
      <c r="F4" s="391"/>
      <c r="G4" s="391"/>
      <c r="H4" s="391"/>
      <c r="I4" s="391"/>
      <c r="J4" s="391"/>
      <c r="K4" s="391"/>
      <c r="L4" s="389"/>
    </row>
    <row r="5" spans="1:12" ht="25.5" customHeight="1">
      <c r="A5" s="384"/>
      <c r="B5" s="384"/>
      <c r="C5" s="386" t="s">
        <v>245</v>
      </c>
      <c r="D5" s="387"/>
      <c r="E5" s="388" t="s">
        <v>246</v>
      </c>
      <c r="F5" s="389"/>
      <c r="G5" s="386" t="s">
        <v>247</v>
      </c>
      <c r="H5" s="387"/>
      <c r="I5" s="388" t="s">
        <v>248</v>
      </c>
      <c r="J5" s="389"/>
      <c r="K5" s="388" t="s">
        <v>38</v>
      </c>
      <c r="L5" s="389"/>
    </row>
    <row r="6" spans="1:12" ht="25.5" customHeight="1">
      <c r="A6" s="385"/>
      <c r="B6" s="385"/>
      <c r="C6" s="165" t="s">
        <v>8</v>
      </c>
      <c r="D6" s="165" t="s">
        <v>9</v>
      </c>
      <c r="E6" s="35" t="s">
        <v>8</v>
      </c>
      <c r="F6" s="35" t="s">
        <v>9</v>
      </c>
      <c r="G6" s="165" t="s">
        <v>8</v>
      </c>
      <c r="H6" s="165" t="s">
        <v>9</v>
      </c>
      <c r="I6" s="35" t="s">
        <v>8</v>
      </c>
      <c r="J6" s="35" t="s">
        <v>9</v>
      </c>
      <c r="K6" s="36" t="s">
        <v>8</v>
      </c>
      <c r="L6" s="36" t="s">
        <v>9</v>
      </c>
    </row>
    <row r="7" spans="1:12" s="41" customFormat="1" ht="25.5" customHeight="1">
      <c r="A7" s="33" t="s">
        <v>54</v>
      </c>
      <c r="B7" s="34" t="s">
        <v>55</v>
      </c>
      <c r="C7" s="32"/>
      <c r="D7" s="32"/>
      <c r="E7" s="32"/>
      <c r="F7" s="32"/>
      <c r="G7" s="32"/>
      <c r="H7" s="32"/>
      <c r="I7" s="32"/>
      <c r="J7" s="32"/>
      <c r="K7" s="37">
        <f>C7+E7+G7+I7</f>
        <v>0</v>
      </c>
      <c r="L7" s="37">
        <f>D7+F7+H7+J7</f>
        <v>0</v>
      </c>
    </row>
    <row r="9" spans="1:12">
      <c r="A9" s="3" t="s">
        <v>63</v>
      </c>
    </row>
    <row r="10" spans="1:12">
      <c r="A10" t="s">
        <v>240</v>
      </c>
    </row>
  </sheetData>
  <mergeCells count="10">
    <mergeCell ref="A1:L1"/>
    <mergeCell ref="K3:L3"/>
    <mergeCell ref="C4:L4"/>
    <mergeCell ref="I5:J5"/>
    <mergeCell ref="K5:L5"/>
    <mergeCell ref="A4:A6"/>
    <mergeCell ref="B4:B6"/>
    <mergeCell ref="C5:D5"/>
    <mergeCell ref="E5:F5"/>
    <mergeCell ref="G5:H5"/>
  </mergeCells>
  <phoneticPr fontId="35" type="noConversion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13"/>
  <sheetViews>
    <sheetView showGridLines="0" zoomScale="85" zoomScaleNormal="85" workbookViewId="0">
      <selection sqref="A1:M1"/>
    </sheetView>
  </sheetViews>
  <sheetFormatPr defaultRowHeight="16.5"/>
  <cols>
    <col min="1" max="1" width="5.125" customWidth="1"/>
    <col min="2" max="2" width="11.75" customWidth="1"/>
    <col min="3" max="3" width="9.875" bestFit="1" customWidth="1"/>
    <col min="4" max="4" width="8.5" customWidth="1"/>
    <col min="5" max="5" width="17.625" customWidth="1"/>
    <col min="6" max="6" width="26.375" bestFit="1" customWidth="1"/>
    <col min="7" max="7" width="8.75" bestFit="1" customWidth="1"/>
    <col min="8" max="8" width="8.625" customWidth="1"/>
    <col min="9" max="9" width="10.5" bestFit="1" customWidth="1"/>
    <col min="10" max="10" width="6.75" bestFit="1" customWidth="1"/>
    <col min="12" max="12" width="11.25" customWidth="1"/>
  </cols>
  <sheetData>
    <row r="1" spans="1:13" ht="30.75" customHeight="1">
      <c r="A1" s="390" t="s">
        <v>52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</row>
    <row r="2" spans="1:13" ht="18.75">
      <c r="A2" s="161"/>
      <c r="B2" s="161"/>
      <c r="C2" s="161"/>
      <c r="D2" s="161"/>
      <c r="E2" s="161"/>
      <c r="F2" s="161"/>
      <c r="G2" s="161"/>
      <c r="H2" s="161"/>
    </row>
    <row r="3" spans="1:13" ht="18.75">
      <c r="A3" s="161"/>
      <c r="B3" s="161"/>
      <c r="C3" s="161"/>
      <c r="D3" s="161"/>
      <c r="E3" s="161"/>
      <c r="F3" s="161"/>
      <c r="G3" s="38"/>
      <c r="H3" s="38"/>
      <c r="L3" s="376" t="s">
        <v>42</v>
      </c>
      <c r="M3" s="376"/>
    </row>
    <row r="4" spans="1:13" ht="42" customHeight="1">
      <c r="A4" s="39" t="s">
        <v>0</v>
      </c>
      <c r="B4" s="39" t="s">
        <v>43</v>
      </c>
      <c r="C4" s="39" t="s">
        <v>44</v>
      </c>
      <c r="D4" s="39" t="s">
        <v>45</v>
      </c>
      <c r="E4" s="39" t="s">
        <v>56</v>
      </c>
      <c r="F4" s="39" t="s">
        <v>57</v>
      </c>
      <c r="G4" s="39" t="s">
        <v>60</v>
      </c>
      <c r="H4" s="39" t="s">
        <v>46</v>
      </c>
      <c r="I4" s="39" t="s">
        <v>47</v>
      </c>
      <c r="J4" s="39" t="s">
        <v>61</v>
      </c>
      <c r="K4" s="39" t="s">
        <v>62</v>
      </c>
      <c r="L4" s="39" t="s">
        <v>48</v>
      </c>
      <c r="M4" s="39" t="s">
        <v>49</v>
      </c>
    </row>
    <row r="5" spans="1:13" ht="32.1" customHeight="1">
      <c r="A5" s="166" t="s">
        <v>54</v>
      </c>
      <c r="B5" s="166" t="s">
        <v>53</v>
      </c>
      <c r="C5" s="166" t="s">
        <v>50</v>
      </c>
      <c r="D5" s="166" t="s">
        <v>68</v>
      </c>
      <c r="E5" s="166" t="s">
        <v>58</v>
      </c>
      <c r="F5" s="166" t="s">
        <v>59</v>
      </c>
      <c r="G5" s="166">
        <v>9</v>
      </c>
      <c r="H5" s="167">
        <v>120000</v>
      </c>
      <c r="I5" s="167">
        <f>G5*H5</f>
        <v>1080000</v>
      </c>
      <c r="J5" s="166">
        <v>1</v>
      </c>
      <c r="K5" s="167">
        <f>H5*J5</f>
        <v>120000</v>
      </c>
      <c r="L5" s="167">
        <f>I5+K5</f>
        <v>1200000</v>
      </c>
      <c r="M5" s="166"/>
    </row>
    <row r="6" spans="1:13" ht="32.1" customHeight="1">
      <c r="A6" s="166" t="s">
        <v>54</v>
      </c>
      <c r="B6" s="166" t="s">
        <v>53</v>
      </c>
      <c r="C6" s="166" t="s">
        <v>50</v>
      </c>
      <c r="D6" s="166" t="s">
        <v>68</v>
      </c>
      <c r="E6" s="166" t="s">
        <v>249</v>
      </c>
      <c r="F6" s="166" t="s">
        <v>59</v>
      </c>
      <c r="G6" s="166">
        <v>4</v>
      </c>
      <c r="H6" s="167">
        <v>110000</v>
      </c>
      <c r="I6" s="167">
        <f>G6*H6</f>
        <v>440000</v>
      </c>
      <c r="J6" s="166">
        <v>0</v>
      </c>
      <c r="K6" s="167">
        <f>H6*J6</f>
        <v>0</v>
      </c>
      <c r="L6" s="167">
        <f>I6+K6</f>
        <v>440000</v>
      </c>
      <c r="M6" s="166"/>
    </row>
    <row r="7" spans="1:13" ht="32.1" customHeight="1">
      <c r="A7" s="40"/>
      <c r="B7" s="40"/>
      <c r="C7" s="40"/>
      <c r="D7" s="40"/>
      <c r="E7" s="40"/>
      <c r="F7" s="40"/>
      <c r="G7" s="40"/>
      <c r="H7" s="43"/>
      <c r="I7" s="43"/>
      <c r="J7" s="40"/>
      <c r="K7" s="43"/>
      <c r="L7" s="43"/>
      <c r="M7" s="40"/>
    </row>
    <row r="8" spans="1:13" ht="32.1" customHeight="1">
      <c r="A8" s="40"/>
      <c r="B8" s="40"/>
      <c r="C8" s="40"/>
      <c r="D8" s="40"/>
      <c r="E8" s="40"/>
      <c r="F8" s="40"/>
      <c r="G8" s="40"/>
      <c r="H8" s="43"/>
      <c r="I8" s="43"/>
      <c r="J8" s="40"/>
      <c r="K8" s="43"/>
      <c r="L8" s="43"/>
      <c r="M8" s="40"/>
    </row>
    <row r="9" spans="1:13" ht="32.1" customHeight="1">
      <c r="A9" s="40"/>
      <c r="B9" s="40"/>
      <c r="C9" s="40"/>
      <c r="D9" s="40"/>
      <c r="E9" s="40"/>
      <c r="F9" s="40"/>
      <c r="G9" s="40"/>
      <c r="H9" s="43"/>
      <c r="I9" s="43"/>
      <c r="J9" s="40"/>
      <c r="K9" s="43"/>
      <c r="L9" s="43"/>
      <c r="M9" s="40"/>
    </row>
    <row r="10" spans="1:13" ht="32.1" customHeight="1">
      <c r="A10" s="392" t="s">
        <v>65</v>
      </c>
      <c r="B10" s="393"/>
      <c r="C10" s="394"/>
      <c r="D10" s="63">
        <f>COUNTA(D5:D9)</f>
        <v>2</v>
      </c>
      <c r="E10" s="63"/>
      <c r="F10" s="63"/>
      <c r="G10" s="63"/>
      <c r="H10" s="62"/>
      <c r="I10" s="62"/>
      <c r="J10" s="63"/>
      <c r="K10" s="62"/>
      <c r="L10" s="62">
        <f>SUM(L5:L9)</f>
        <v>1640000</v>
      </c>
      <c r="M10" s="63"/>
    </row>
    <row r="12" spans="1:13">
      <c r="A12" s="3" t="s">
        <v>63</v>
      </c>
    </row>
    <row r="13" spans="1:13">
      <c r="A13" t="s">
        <v>240</v>
      </c>
    </row>
  </sheetData>
  <mergeCells count="3">
    <mergeCell ref="L3:M3"/>
    <mergeCell ref="A1:M1"/>
    <mergeCell ref="A10:C10"/>
  </mergeCells>
  <phoneticPr fontId="35" type="noConversion"/>
  <pageMargins left="0.7" right="0.7" top="0.75" bottom="0.75" header="0.3" footer="0.3"/>
  <pageSetup paperSize="9"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7"/>
  <sheetViews>
    <sheetView showGridLines="0" zoomScale="85" zoomScaleNormal="85" zoomScaleSheetLayoutView="85" workbookViewId="0">
      <selection activeCell="K8" sqref="K8"/>
    </sheetView>
  </sheetViews>
  <sheetFormatPr defaultRowHeight="16.5"/>
  <cols>
    <col min="1" max="1" width="6" customWidth="1"/>
    <col min="2" max="2" width="8.625" customWidth="1"/>
    <col min="3" max="3" width="10" customWidth="1"/>
    <col min="4" max="5" width="9.125" customWidth="1"/>
    <col min="6" max="6" width="10.625" customWidth="1"/>
    <col min="7" max="7" width="15.625" customWidth="1"/>
    <col min="8" max="8" width="10.625" customWidth="1"/>
    <col min="9" max="9" width="15.625" customWidth="1"/>
    <col min="10" max="10" width="8.75" bestFit="1" customWidth="1"/>
    <col min="11" max="11" width="15.625" customWidth="1"/>
    <col min="12" max="12" width="10.875" bestFit="1" customWidth="1"/>
    <col min="13" max="14" width="9.375" bestFit="1" customWidth="1"/>
  </cols>
  <sheetData>
    <row r="1" spans="1:14" ht="18.75">
      <c r="A1" s="361" t="s">
        <v>64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</row>
    <row r="2" spans="1:14" ht="9.7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</row>
    <row r="3" spans="1:14">
      <c r="A3" s="403"/>
      <c r="B3" s="403"/>
      <c r="C3" s="403"/>
      <c r="D3" s="403"/>
      <c r="E3" s="403"/>
      <c r="F3" s="16"/>
      <c r="G3" s="16"/>
      <c r="H3" s="17"/>
      <c r="I3" s="18"/>
      <c r="J3" s="404" t="s">
        <v>32</v>
      </c>
      <c r="K3" s="404"/>
    </row>
    <row r="4" spans="1:14" ht="29.25" customHeight="1">
      <c r="A4" s="405" t="s">
        <v>0</v>
      </c>
      <c r="B4" s="405" t="s">
        <v>1</v>
      </c>
      <c r="C4" s="405" t="s">
        <v>194</v>
      </c>
      <c r="D4" s="405" t="s">
        <v>195</v>
      </c>
      <c r="E4" s="405" t="s">
        <v>193</v>
      </c>
      <c r="F4" s="408" t="s">
        <v>172</v>
      </c>
      <c r="G4" s="409"/>
      <c r="H4" s="409"/>
      <c r="I4" s="409"/>
      <c r="J4" s="409"/>
      <c r="K4" s="410"/>
    </row>
    <row r="5" spans="1:14" ht="27" customHeight="1">
      <c r="A5" s="406"/>
      <c r="B5" s="406"/>
      <c r="C5" s="406"/>
      <c r="D5" s="406"/>
      <c r="E5" s="406"/>
      <c r="F5" s="408" t="s">
        <v>31</v>
      </c>
      <c r="G5" s="410"/>
      <c r="H5" s="408" t="s">
        <v>4</v>
      </c>
      <c r="I5" s="410"/>
      <c r="J5" s="395" t="s">
        <v>65</v>
      </c>
      <c r="K5" s="396"/>
    </row>
    <row r="6" spans="1:14" ht="24" customHeight="1">
      <c r="A6" s="407"/>
      <c r="B6" s="407"/>
      <c r="C6" s="407"/>
      <c r="D6" s="407"/>
      <c r="E6" s="407"/>
      <c r="F6" s="162" t="s">
        <v>296</v>
      </c>
      <c r="G6" s="162" t="s">
        <v>9</v>
      </c>
      <c r="H6" s="162" t="s">
        <v>296</v>
      </c>
      <c r="I6" s="162" t="s">
        <v>9</v>
      </c>
      <c r="J6" s="54" t="s">
        <v>296</v>
      </c>
      <c r="K6" s="56" t="s">
        <v>29</v>
      </c>
    </row>
    <row r="7" spans="1:14" ht="20.25" customHeight="1">
      <c r="A7" s="21">
        <v>1</v>
      </c>
      <c r="B7" s="21" t="s">
        <v>10</v>
      </c>
      <c r="C7" s="21"/>
      <c r="D7" s="21"/>
      <c r="E7" s="21"/>
      <c r="F7" s="304"/>
      <c r="G7" s="305"/>
      <c r="H7" s="306"/>
      <c r="I7" s="305"/>
      <c r="J7" s="144">
        <f>F7+H7</f>
        <v>0</v>
      </c>
      <c r="K7" s="307">
        <f>G7+I7</f>
        <v>0</v>
      </c>
    </row>
    <row r="8" spans="1:14" ht="20.25" customHeight="1">
      <c r="A8" s="21">
        <v>2</v>
      </c>
      <c r="B8" s="21" t="s">
        <v>11</v>
      </c>
      <c r="C8" s="21"/>
      <c r="D8" s="21"/>
      <c r="E8" s="21"/>
      <c r="F8" s="304"/>
      <c r="G8" s="305"/>
      <c r="H8" s="306"/>
      <c r="I8" s="305"/>
      <c r="J8" s="144">
        <f t="shared" ref="J8:K24" si="0">F8+H8</f>
        <v>0</v>
      </c>
      <c r="K8" s="307">
        <f t="shared" si="0"/>
        <v>0</v>
      </c>
      <c r="M8" s="1"/>
    </row>
    <row r="9" spans="1:14" ht="20.25" customHeight="1">
      <c r="A9" s="21">
        <v>3</v>
      </c>
      <c r="B9" s="28" t="s">
        <v>12</v>
      </c>
      <c r="C9" s="28"/>
      <c r="D9" s="28"/>
      <c r="E9" s="21"/>
      <c r="F9" s="304"/>
      <c r="G9" s="305"/>
      <c r="H9" s="306"/>
      <c r="I9" s="305"/>
      <c r="J9" s="144">
        <f t="shared" si="0"/>
        <v>0</v>
      </c>
      <c r="K9" s="307">
        <f t="shared" si="0"/>
        <v>0</v>
      </c>
    </row>
    <row r="10" spans="1:14" ht="20.25" customHeight="1">
      <c r="A10" s="21">
        <v>4</v>
      </c>
      <c r="B10" s="21" t="s">
        <v>13</v>
      </c>
      <c r="C10" s="21"/>
      <c r="D10" s="21"/>
      <c r="E10" s="21"/>
      <c r="F10" s="304"/>
      <c r="G10" s="305"/>
      <c r="H10" s="306"/>
      <c r="I10" s="305"/>
      <c r="J10" s="144">
        <f t="shared" si="0"/>
        <v>0</v>
      </c>
      <c r="K10" s="307">
        <f t="shared" si="0"/>
        <v>0</v>
      </c>
      <c r="M10" s="1"/>
    </row>
    <row r="11" spans="1:14" s="3" customFormat="1" ht="20.25" customHeight="1">
      <c r="A11" s="21">
        <v>5</v>
      </c>
      <c r="B11" s="22" t="s">
        <v>14</v>
      </c>
      <c r="C11" s="22"/>
      <c r="D11" s="22"/>
      <c r="E11" s="21"/>
      <c r="F11" s="304"/>
      <c r="G11" s="305"/>
      <c r="H11" s="306"/>
      <c r="I11" s="305"/>
      <c r="J11" s="144">
        <f t="shared" si="0"/>
        <v>0</v>
      </c>
      <c r="K11" s="307">
        <f t="shared" si="0"/>
        <v>0</v>
      </c>
      <c r="L11" s="2"/>
      <c r="M11" s="2"/>
      <c r="N11" s="2"/>
    </row>
    <row r="12" spans="1:14" ht="20.25" customHeight="1">
      <c r="A12" s="21">
        <v>6</v>
      </c>
      <c r="B12" s="21" t="s">
        <v>15</v>
      </c>
      <c r="C12" s="21"/>
      <c r="D12" s="21"/>
      <c r="E12" s="21"/>
      <c r="F12" s="304"/>
      <c r="G12" s="305"/>
      <c r="H12" s="306"/>
      <c r="I12" s="305"/>
      <c r="J12" s="144">
        <f t="shared" si="0"/>
        <v>0</v>
      </c>
      <c r="K12" s="307">
        <f t="shared" si="0"/>
        <v>0</v>
      </c>
      <c r="L12" s="146"/>
    </row>
    <row r="13" spans="1:14" ht="20.25" customHeight="1">
      <c r="A13" s="21">
        <v>7</v>
      </c>
      <c r="B13" s="22" t="s">
        <v>16</v>
      </c>
      <c r="C13" s="22"/>
      <c r="D13" s="22"/>
      <c r="E13" s="21"/>
      <c r="F13" s="304"/>
      <c r="G13" s="305"/>
      <c r="H13" s="306"/>
      <c r="I13" s="305"/>
      <c r="J13" s="144">
        <f t="shared" si="0"/>
        <v>0</v>
      </c>
      <c r="K13" s="307">
        <f t="shared" si="0"/>
        <v>0</v>
      </c>
      <c r="M13" s="1"/>
    </row>
    <row r="14" spans="1:14" ht="20.25" customHeight="1">
      <c r="A14" s="21">
        <v>8</v>
      </c>
      <c r="B14" s="23" t="s">
        <v>17</v>
      </c>
      <c r="C14" s="23"/>
      <c r="D14" s="23"/>
      <c r="E14" s="21"/>
      <c r="F14" s="304"/>
      <c r="G14" s="305"/>
      <c r="H14" s="306"/>
      <c r="I14" s="305"/>
      <c r="J14" s="144">
        <f t="shared" si="0"/>
        <v>0</v>
      </c>
      <c r="K14" s="307">
        <f t="shared" si="0"/>
        <v>0</v>
      </c>
    </row>
    <row r="15" spans="1:14" ht="20.25" customHeight="1">
      <c r="A15" s="21">
        <v>9</v>
      </c>
      <c r="B15" s="21" t="s">
        <v>18</v>
      </c>
      <c r="C15" s="21"/>
      <c r="D15" s="21"/>
      <c r="E15" s="21"/>
      <c r="F15" s="304"/>
      <c r="G15" s="305"/>
      <c r="H15" s="306"/>
      <c r="I15" s="305"/>
      <c r="J15" s="144">
        <f t="shared" si="0"/>
        <v>0</v>
      </c>
      <c r="K15" s="307">
        <f t="shared" si="0"/>
        <v>0</v>
      </c>
    </row>
    <row r="16" spans="1:14" ht="20.25" customHeight="1">
      <c r="A16" s="21">
        <v>10</v>
      </c>
      <c r="B16" s="21" t="s">
        <v>19</v>
      </c>
      <c r="C16" s="21"/>
      <c r="D16" s="21"/>
      <c r="E16" s="21"/>
      <c r="F16" s="304"/>
      <c r="G16" s="305"/>
      <c r="H16" s="306"/>
      <c r="I16" s="305"/>
      <c r="J16" s="144">
        <f t="shared" si="0"/>
        <v>0</v>
      </c>
      <c r="K16" s="307">
        <f t="shared" si="0"/>
        <v>0</v>
      </c>
      <c r="M16" s="1"/>
    </row>
    <row r="17" spans="1:13" ht="20.25" customHeight="1">
      <c r="A17" s="21">
        <v>11</v>
      </c>
      <c r="B17" s="21" t="s">
        <v>20</v>
      </c>
      <c r="C17" s="21"/>
      <c r="D17" s="21"/>
      <c r="E17" s="21"/>
      <c r="F17" s="304"/>
      <c r="G17" s="305"/>
      <c r="H17" s="306"/>
      <c r="I17" s="305"/>
      <c r="J17" s="144">
        <f t="shared" si="0"/>
        <v>0</v>
      </c>
      <c r="K17" s="307">
        <f t="shared" si="0"/>
        <v>0</v>
      </c>
    </row>
    <row r="18" spans="1:13" ht="20.25" customHeight="1">
      <c r="A18" s="21">
        <v>12</v>
      </c>
      <c r="B18" s="21" t="s">
        <v>21</v>
      </c>
      <c r="C18" s="21"/>
      <c r="D18" s="21"/>
      <c r="E18" s="21"/>
      <c r="F18" s="304"/>
      <c r="G18" s="305"/>
      <c r="H18" s="306"/>
      <c r="I18" s="305"/>
      <c r="J18" s="144">
        <f t="shared" si="0"/>
        <v>0</v>
      </c>
      <c r="K18" s="307">
        <f t="shared" si="0"/>
        <v>0</v>
      </c>
      <c r="M18" s="1"/>
    </row>
    <row r="19" spans="1:13" ht="20.25" customHeight="1">
      <c r="A19" s="21">
        <v>13</v>
      </c>
      <c r="B19" s="21" t="s">
        <v>30</v>
      </c>
      <c r="C19" s="21"/>
      <c r="D19" s="21"/>
      <c r="E19" s="21"/>
      <c r="F19" s="304"/>
      <c r="G19" s="305"/>
      <c r="H19" s="306"/>
      <c r="I19" s="305"/>
      <c r="J19" s="144">
        <f t="shared" si="0"/>
        <v>0</v>
      </c>
      <c r="K19" s="307">
        <f t="shared" si="0"/>
        <v>0</v>
      </c>
    </row>
    <row r="20" spans="1:13" ht="20.25" customHeight="1">
      <c r="A20" s="21">
        <v>14</v>
      </c>
      <c r="B20" s="21" t="s">
        <v>22</v>
      </c>
      <c r="C20" s="21"/>
      <c r="D20" s="21"/>
      <c r="E20" s="21"/>
      <c r="F20" s="304"/>
      <c r="G20" s="305"/>
      <c r="H20" s="306"/>
      <c r="I20" s="305"/>
      <c r="J20" s="144">
        <f t="shared" si="0"/>
        <v>0</v>
      </c>
      <c r="K20" s="307">
        <f t="shared" si="0"/>
        <v>0</v>
      </c>
    </row>
    <row r="21" spans="1:13" ht="20.25" customHeight="1">
      <c r="A21" s="21">
        <v>15</v>
      </c>
      <c r="B21" s="21" t="s">
        <v>23</v>
      </c>
      <c r="C21" s="21"/>
      <c r="D21" s="21"/>
      <c r="E21" s="21"/>
      <c r="F21" s="304"/>
      <c r="G21" s="305"/>
      <c r="H21" s="306"/>
      <c r="I21" s="305"/>
      <c r="J21" s="144">
        <f t="shared" si="0"/>
        <v>0</v>
      </c>
      <c r="K21" s="307">
        <f t="shared" si="0"/>
        <v>0</v>
      </c>
    </row>
    <row r="22" spans="1:13" ht="20.25" customHeight="1">
      <c r="A22" s="21">
        <v>16</v>
      </c>
      <c r="B22" s="21" t="s">
        <v>24</v>
      </c>
      <c r="C22" s="21"/>
      <c r="D22" s="21"/>
      <c r="E22" s="21"/>
      <c r="F22" s="304"/>
      <c r="G22" s="305"/>
      <c r="H22" s="306"/>
      <c r="I22" s="305"/>
      <c r="J22" s="144">
        <f t="shared" si="0"/>
        <v>0</v>
      </c>
      <c r="K22" s="307">
        <f t="shared" si="0"/>
        <v>0</v>
      </c>
    </row>
    <row r="23" spans="1:13" ht="20.25" customHeight="1">
      <c r="A23" s="21">
        <v>17</v>
      </c>
      <c r="B23" s="21" t="s">
        <v>33</v>
      </c>
      <c r="C23" s="21"/>
      <c r="D23" s="21"/>
      <c r="E23" s="21"/>
      <c r="F23" s="304"/>
      <c r="G23" s="305"/>
      <c r="H23" s="306"/>
      <c r="I23" s="305"/>
      <c r="J23" s="144">
        <f t="shared" si="0"/>
        <v>0</v>
      </c>
      <c r="K23" s="307">
        <f t="shared" si="0"/>
        <v>0</v>
      </c>
    </row>
    <row r="24" spans="1:13" ht="20.25" customHeight="1">
      <c r="A24" s="21">
        <v>18</v>
      </c>
      <c r="B24" s="24" t="s">
        <v>25</v>
      </c>
      <c r="C24" s="24"/>
      <c r="D24" s="24"/>
      <c r="E24" s="21"/>
      <c r="F24" s="304"/>
      <c r="G24" s="305"/>
      <c r="H24" s="306"/>
      <c r="I24" s="305"/>
      <c r="J24" s="144">
        <f t="shared" si="0"/>
        <v>0</v>
      </c>
      <c r="K24" s="307">
        <f t="shared" si="0"/>
        <v>0</v>
      </c>
    </row>
    <row r="25" spans="1:13">
      <c r="A25" s="397" t="s">
        <v>26</v>
      </c>
      <c r="B25" s="398"/>
      <c r="C25" s="398"/>
      <c r="D25" s="398"/>
      <c r="E25" s="399"/>
      <c r="F25" s="140">
        <f t="shared" ref="F25:K25" si="1">SUM(F7:F24)</f>
        <v>0</v>
      </c>
      <c r="G25" s="140">
        <f t="shared" si="1"/>
        <v>0</v>
      </c>
      <c r="H25" s="140">
        <f t="shared" si="1"/>
        <v>0</v>
      </c>
      <c r="I25" s="140">
        <f t="shared" si="1"/>
        <v>0</v>
      </c>
      <c r="J25" s="58">
        <f t="shared" si="1"/>
        <v>0</v>
      </c>
      <c r="K25" s="58">
        <f t="shared" si="1"/>
        <v>0</v>
      </c>
      <c r="L25" s="1"/>
    </row>
    <row r="26" spans="1:1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"/>
    </row>
    <row r="27" spans="1:13">
      <c r="A27" s="400" t="s">
        <v>198</v>
      </c>
      <c r="B27" s="401"/>
      <c r="C27" s="401"/>
      <c r="D27" s="401"/>
      <c r="E27" s="401"/>
      <c r="F27" s="401"/>
      <c r="G27" s="401"/>
      <c r="H27" s="401"/>
      <c r="I27" s="401"/>
      <c r="J27" s="401"/>
      <c r="K27" s="402"/>
    </row>
  </sheetData>
  <mergeCells count="14">
    <mergeCell ref="J5:K5"/>
    <mergeCell ref="A25:E25"/>
    <mergeCell ref="A27:K27"/>
    <mergeCell ref="A1:K1"/>
    <mergeCell ref="A3:E3"/>
    <mergeCell ref="J3:K3"/>
    <mergeCell ref="A4:A6"/>
    <mergeCell ref="B4:B6"/>
    <mergeCell ref="E4:E6"/>
    <mergeCell ref="F4:K4"/>
    <mergeCell ref="F5:G5"/>
    <mergeCell ref="H5:I5"/>
    <mergeCell ref="C4:C6"/>
    <mergeCell ref="D4:D6"/>
  </mergeCells>
  <phoneticPr fontId="35" type="noConversion"/>
  <pageMargins left="0.78740157480314965" right="0.15748031496062992" top="0.70866141732283472" bottom="0.51181102362204722" header="0.43307086614173229" footer="0.31496062992125984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7"/>
  <sheetViews>
    <sheetView showGridLines="0" zoomScale="85" zoomScaleNormal="85" zoomScaleSheetLayoutView="85" workbookViewId="0">
      <selection sqref="A1:K1"/>
    </sheetView>
  </sheetViews>
  <sheetFormatPr defaultRowHeight="16.5"/>
  <cols>
    <col min="1" max="1" width="6" customWidth="1"/>
    <col min="2" max="2" width="8.625" customWidth="1"/>
    <col min="3" max="3" width="10" customWidth="1"/>
    <col min="4" max="5" width="9.125" customWidth="1"/>
    <col min="6" max="6" width="10.125" customWidth="1"/>
    <col min="7" max="7" width="15.625" customWidth="1"/>
    <col min="8" max="8" width="10.125" customWidth="1"/>
    <col min="9" max="9" width="15.625" customWidth="1"/>
    <col min="10" max="10" width="10.125" customWidth="1"/>
    <col min="11" max="11" width="15.625" customWidth="1"/>
    <col min="12" max="12" width="8.75" bestFit="1" customWidth="1"/>
    <col min="13" max="13" width="15.625" customWidth="1"/>
    <col min="14" max="14" width="10.875" style="20" bestFit="1" customWidth="1"/>
    <col min="15" max="16" width="9.375" bestFit="1" customWidth="1"/>
  </cols>
  <sheetData>
    <row r="1" spans="1:14" ht="29.25" customHeight="1">
      <c r="A1" s="361" t="s">
        <v>64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N1"/>
    </row>
    <row r="2" spans="1:14" ht="9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N2"/>
    </row>
    <row r="3" spans="1:14">
      <c r="A3" s="380"/>
      <c r="B3" s="380"/>
      <c r="C3" s="380"/>
      <c r="D3" s="380"/>
      <c r="E3" s="380"/>
      <c r="F3" s="17"/>
      <c r="G3" s="18"/>
      <c r="H3" s="18"/>
      <c r="I3" s="18"/>
      <c r="J3" s="376" t="s">
        <v>32</v>
      </c>
      <c r="K3" s="376"/>
      <c r="N3"/>
    </row>
    <row r="4" spans="1:14" ht="24.75" customHeight="1">
      <c r="A4" s="414" t="s">
        <v>0</v>
      </c>
      <c r="B4" s="414" t="s">
        <v>1</v>
      </c>
      <c r="C4" s="405" t="s">
        <v>194</v>
      </c>
      <c r="D4" s="405" t="s">
        <v>195</v>
      </c>
      <c r="E4" s="405" t="s">
        <v>193</v>
      </c>
      <c r="F4" s="409" t="s">
        <v>172</v>
      </c>
      <c r="G4" s="409"/>
      <c r="H4" s="409"/>
      <c r="I4" s="409"/>
      <c r="J4" s="409"/>
      <c r="K4" s="410"/>
      <c r="N4"/>
    </row>
    <row r="5" spans="1:14" ht="24.75" customHeight="1">
      <c r="A5" s="414"/>
      <c r="B5" s="414"/>
      <c r="C5" s="406"/>
      <c r="D5" s="406"/>
      <c r="E5" s="406"/>
      <c r="F5" s="415" t="s">
        <v>5</v>
      </c>
      <c r="G5" s="415"/>
      <c r="H5" s="415" t="s">
        <v>27</v>
      </c>
      <c r="I5" s="415"/>
      <c r="J5" s="395" t="s">
        <v>65</v>
      </c>
      <c r="K5" s="396"/>
      <c r="N5"/>
    </row>
    <row r="6" spans="1:14" ht="20.25" customHeight="1">
      <c r="A6" s="414"/>
      <c r="B6" s="414"/>
      <c r="C6" s="407"/>
      <c r="D6" s="407"/>
      <c r="E6" s="407"/>
      <c r="F6" s="54" t="s">
        <v>8</v>
      </c>
      <c r="G6" s="107" t="s">
        <v>29</v>
      </c>
      <c r="H6" s="55" t="s">
        <v>28</v>
      </c>
      <c r="I6" s="107" t="s">
        <v>9</v>
      </c>
      <c r="J6" s="54" t="s">
        <v>28</v>
      </c>
      <c r="K6" s="56" t="s">
        <v>29</v>
      </c>
      <c r="N6"/>
    </row>
    <row r="7" spans="1:14" ht="20.25" customHeight="1">
      <c r="A7" s="21">
        <v>1</v>
      </c>
      <c r="B7" s="21" t="s">
        <v>10</v>
      </c>
      <c r="C7" s="21"/>
      <c r="D7" s="21"/>
      <c r="E7" s="21"/>
      <c r="F7" s="122"/>
      <c r="G7" s="122"/>
      <c r="H7" s="122"/>
      <c r="I7" s="122"/>
      <c r="J7" s="144">
        <f>F7+H7</f>
        <v>0</v>
      </c>
      <c r="K7" s="144">
        <f>G7+I7</f>
        <v>0</v>
      </c>
      <c r="N7"/>
    </row>
    <row r="8" spans="1:14" ht="20.25" customHeight="1">
      <c r="A8" s="21">
        <v>2</v>
      </c>
      <c r="B8" s="21" t="s">
        <v>11</v>
      </c>
      <c r="C8" s="21"/>
      <c r="D8" s="21"/>
      <c r="E8" s="21"/>
      <c r="F8" s="122"/>
      <c r="G8" s="122"/>
      <c r="H8" s="122"/>
      <c r="I8" s="122"/>
      <c r="J8" s="144">
        <f t="shared" ref="J8:K24" si="0">F8+H8</f>
        <v>0</v>
      </c>
      <c r="K8" s="144">
        <f t="shared" si="0"/>
        <v>0</v>
      </c>
      <c r="M8" s="1"/>
      <c r="N8"/>
    </row>
    <row r="9" spans="1:14" ht="20.25" customHeight="1">
      <c r="A9" s="21">
        <v>3</v>
      </c>
      <c r="B9" s="28" t="s">
        <v>12</v>
      </c>
      <c r="C9" s="28"/>
      <c r="D9" s="28"/>
      <c r="E9" s="21"/>
      <c r="F9" s="121"/>
      <c r="G9" s="145"/>
      <c r="H9" s="122"/>
      <c r="I9" s="145"/>
      <c r="J9" s="144">
        <f t="shared" si="0"/>
        <v>0</v>
      </c>
      <c r="K9" s="144">
        <f t="shared" si="0"/>
        <v>0</v>
      </c>
      <c r="N9"/>
    </row>
    <row r="10" spans="1:14" ht="20.25" customHeight="1">
      <c r="A10" s="21">
        <v>4</v>
      </c>
      <c r="B10" s="21" t="s">
        <v>13</v>
      </c>
      <c r="C10" s="21"/>
      <c r="D10" s="21"/>
      <c r="E10" s="21"/>
      <c r="F10" s="122"/>
      <c r="G10" s="122"/>
      <c r="H10" s="133"/>
      <c r="I10" s="133"/>
      <c r="J10" s="144">
        <f t="shared" si="0"/>
        <v>0</v>
      </c>
      <c r="K10" s="144">
        <f t="shared" si="0"/>
        <v>0</v>
      </c>
      <c r="M10" s="1"/>
      <c r="N10"/>
    </row>
    <row r="11" spans="1:14" s="3" customFormat="1" ht="20.25" customHeight="1">
      <c r="A11" s="21">
        <v>5</v>
      </c>
      <c r="B11" s="22" t="s">
        <v>14</v>
      </c>
      <c r="C11" s="22"/>
      <c r="D11" s="22"/>
      <c r="E11" s="21"/>
      <c r="F11" s="122"/>
      <c r="G11" s="122"/>
      <c r="H11" s="122"/>
      <c r="I11" s="122"/>
      <c r="J11" s="144">
        <f t="shared" si="0"/>
        <v>0</v>
      </c>
      <c r="K11" s="144">
        <f t="shared" si="0"/>
        <v>0</v>
      </c>
      <c r="L11" s="2"/>
      <c r="M11" s="2"/>
      <c r="N11" s="2"/>
    </row>
    <row r="12" spans="1:14" ht="20.25" customHeight="1">
      <c r="A12" s="21">
        <v>6</v>
      </c>
      <c r="B12" s="21" t="s">
        <v>15</v>
      </c>
      <c r="C12" s="21"/>
      <c r="D12" s="21"/>
      <c r="E12" s="21"/>
      <c r="F12" s="122"/>
      <c r="G12" s="122"/>
      <c r="H12" s="133"/>
      <c r="I12" s="133"/>
      <c r="J12" s="144">
        <f t="shared" si="0"/>
        <v>0</v>
      </c>
      <c r="K12" s="144">
        <f t="shared" si="0"/>
        <v>0</v>
      </c>
      <c r="L12" s="146"/>
      <c r="N12"/>
    </row>
    <row r="13" spans="1:14" ht="20.25" customHeight="1">
      <c r="A13" s="21">
        <v>7</v>
      </c>
      <c r="B13" s="22" t="s">
        <v>16</v>
      </c>
      <c r="C13" s="22"/>
      <c r="D13" s="22"/>
      <c r="E13" s="21"/>
      <c r="F13" s="122"/>
      <c r="G13" s="122"/>
      <c r="H13" s="133"/>
      <c r="I13" s="133"/>
      <c r="J13" s="144">
        <f t="shared" si="0"/>
        <v>0</v>
      </c>
      <c r="K13" s="144">
        <f t="shared" si="0"/>
        <v>0</v>
      </c>
      <c r="M13" s="1"/>
      <c r="N13"/>
    </row>
    <row r="14" spans="1:14" ht="20.25" customHeight="1">
      <c r="A14" s="21">
        <v>8</v>
      </c>
      <c r="B14" s="23" t="s">
        <v>17</v>
      </c>
      <c r="C14" s="23"/>
      <c r="D14" s="23"/>
      <c r="E14" s="21"/>
      <c r="F14" s="130"/>
      <c r="G14" s="122"/>
      <c r="H14" s="130"/>
      <c r="I14" s="122"/>
      <c r="J14" s="144">
        <f t="shared" si="0"/>
        <v>0</v>
      </c>
      <c r="K14" s="144">
        <f t="shared" si="0"/>
        <v>0</v>
      </c>
      <c r="N14"/>
    </row>
    <row r="15" spans="1:14" ht="20.25" customHeight="1">
      <c r="A15" s="21">
        <v>9</v>
      </c>
      <c r="B15" s="21" t="s">
        <v>18</v>
      </c>
      <c r="C15" s="21"/>
      <c r="D15" s="21"/>
      <c r="E15" s="21"/>
      <c r="F15" s="122"/>
      <c r="G15" s="122"/>
      <c r="H15" s="122"/>
      <c r="I15" s="122"/>
      <c r="J15" s="144">
        <f t="shared" si="0"/>
        <v>0</v>
      </c>
      <c r="K15" s="144">
        <f t="shared" si="0"/>
        <v>0</v>
      </c>
      <c r="N15"/>
    </row>
    <row r="16" spans="1:14" ht="20.25" customHeight="1">
      <c r="A16" s="21">
        <v>10</v>
      </c>
      <c r="B16" s="21" t="s">
        <v>19</v>
      </c>
      <c r="C16" s="21"/>
      <c r="D16" s="21"/>
      <c r="E16" s="21"/>
      <c r="F16" s="122"/>
      <c r="G16" s="122"/>
      <c r="H16" s="133"/>
      <c r="I16" s="133"/>
      <c r="J16" s="144">
        <f t="shared" si="0"/>
        <v>0</v>
      </c>
      <c r="K16" s="144">
        <f t="shared" si="0"/>
        <v>0</v>
      </c>
      <c r="M16" s="1"/>
      <c r="N16"/>
    </row>
    <row r="17" spans="1:14" ht="20.25" customHeight="1">
      <c r="A17" s="21">
        <v>11</v>
      </c>
      <c r="B17" s="21" t="s">
        <v>20</v>
      </c>
      <c r="C17" s="21"/>
      <c r="D17" s="21"/>
      <c r="E17" s="21"/>
      <c r="F17" s="122"/>
      <c r="G17" s="122"/>
      <c r="H17" s="133"/>
      <c r="I17" s="133"/>
      <c r="J17" s="144">
        <f t="shared" si="0"/>
        <v>0</v>
      </c>
      <c r="K17" s="144">
        <f t="shared" si="0"/>
        <v>0</v>
      </c>
      <c r="N17"/>
    </row>
    <row r="18" spans="1:14" ht="20.25" customHeight="1">
      <c r="A18" s="21">
        <v>12</v>
      </c>
      <c r="B18" s="21" t="s">
        <v>21</v>
      </c>
      <c r="C18" s="21"/>
      <c r="D18" s="21"/>
      <c r="E18" s="21"/>
      <c r="F18" s="122"/>
      <c r="G18" s="122"/>
      <c r="H18" s="133"/>
      <c r="I18" s="133"/>
      <c r="J18" s="144">
        <f t="shared" si="0"/>
        <v>0</v>
      </c>
      <c r="K18" s="144">
        <f t="shared" si="0"/>
        <v>0</v>
      </c>
      <c r="M18" s="1"/>
      <c r="N18"/>
    </row>
    <row r="19" spans="1:14" ht="20.25" customHeight="1">
      <c r="A19" s="21">
        <v>13</v>
      </c>
      <c r="B19" s="21" t="s">
        <v>30</v>
      </c>
      <c r="C19" s="21"/>
      <c r="D19" s="21"/>
      <c r="E19" s="21"/>
      <c r="F19" s="122"/>
      <c r="G19" s="122"/>
      <c r="H19" s="133"/>
      <c r="I19" s="133"/>
      <c r="J19" s="144">
        <f t="shared" si="0"/>
        <v>0</v>
      </c>
      <c r="K19" s="144">
        <f t="shared" si="0"/>
        <v>0</v>
      </c>
      <c r="N19"/>
    </row>
    <row r="20" spans="1:14" ht="20.25" customHeight="1">
      <c r="A20" s="21">
        <v>14</v>
      </c>
      <c r="B20" s="21" t="s">
        <v>22</v>
      </c>
      <c r="C20" s="21"/>
      <c r="D20" s="21"/>
      <c r="E20" s="21"/>
      <c r="F20" s="122"/>
      <c r="G20" s="122"/>
      <c r="H20" s="133"/>
      <c r="I20" s="133"/>
      <c r="J20" s="144">
        <f t="shared" si="0"/>
        <v>0</v>
      </c>
      <c r="K20" s="144">
        <f t="shared" si="0"/>
        <v>0</v>
      </c>
      <c r="N20"/>
    </row>
    <row r="21" spans="1:14" ht="20.25" customHeight="1">
      <c r="A21" s="21">
        <v>15</v>
      </c>
      <c r="B21" s="21" t="s">
        <v>23</v>
      </c>
      <c r="C21" s="21"/>
      <c r="D21" s="21"/>
      <c r="E21" s="21"/>
      <c r="F21" s="122"/>
      <c r="G21" s="122"/>
      <c r="H21" s="133"/>
      <c r="I21" s="133"/>
      <c r="J21" s="144">
        <f t="shared" si="0"/>
        <v>0</v>
      </c>
      <c r="K21" s="144">
        <f t="shared" si="0"/>
        <v>0</v>
      </c>
      <c r="N21"/>
    </row>
    <row r="22" spans="1:14" ht="20.25" customHeight="1">
      <c r="A22" s="21">
        <v>16</v>
      </c>
      <c r="B22" s="21" t="s">
        <v>24</v>
      </c>
      <c r="C22" s="21"/>
      <c r="D22" s="21"/>
      <c r="E22" s="21"/>
      <c r="F22" s="122"/>
      <c r="G22" s="122"/>
      <c r="H22" s="133"/>
      <c r="I22" s="133"/>
      <c r="J22" s="144">
        <f t="shared" si="0"/>
        <v>0</v>
      </c>
      <c r="K22" s="144">
        <f t="shared" si="0"/>
        <v>0</v>
      </c>
      <c r="N22"/>
    </row>
    <row r="23" spans="1:14" ht="20.25" customHeight="1">
      <c r="A23" s="21">
        <v>17</v>
      </c>
      <c r="B23" s="21" t="s">
        <v>33</v>
      </c>
      <c r="C23" s="21"/>
      <c r="D23" s="21"/>
      <c r="E23" s="21"/>
      <c r="F23" s="122"/>
      <c r="G23" s="122"/>
      <c r="H23" s="133"/>
      <c r="I23" s="133"/>
      <c r="J23" s="144">
        <f t="shared" si="0"/>
        <v>0</v>
      </c>
      <c r="K23" s="144">
        <f t="shared" si="0"/>
        <v>0</v>
      </c>
      <c r="N23"/>
    </row>
    <row r="24" spans="1:14" ht="20.25" customHeight="1">
      <c r="A24" s="21">
        <v>18</v>
      </c>
      <c r="B24" s="24" t="s">
        <v>25</v>
      </c>
      <c r="C24" s="24"/>
      <c r="D24" s="24"/>
      <c r="E24" s="21"/>
      <c r="F24" s="122"/>
      <c r="G24" s="122"/>
      <c r="H24" s="133"/>
      <c r="I24" s="133"/>
      <c r="J24" s="144">
        <f t="shared" si="0"/>
        <v>0</v>
      </c>
      <c r="K24" s="144">
        <f t="shared" si="0"/>
        <v>0</v>
      </c>
      <c r="N24"/>
    </row>
    <row r="25" spans="1:14" ht="20.25" customHeight="1">
      <c r="A25" s="397" t="s">
        <v>26</v>
      </c>
      <c r="B25" s="398"/>
      <c r="C25" s="398"/>
      <c r="D25" s="398"/>
      <c r="E25" s="399"/>
      <c r="F25" s="140">
        <f t="shared" ref="F25:K25" si="1">SUM(F7:F24)</f>
        <v>0</v>
      </c>
      <c r="G25" s="140">
        <f t="shared" si="1"/>
        <v>0</v>
      </c>
      <c r="H25" s="140">
        <f t="shared" si="1"/>
        <v>0</v>
      </c>
      <c r="I25" s="140">
        <f t="shared" si="1"/>
        <v>0</v>
      </c>
      <c r="J25" s="58">
        <f t="shared" si="1"/>
        <v>0</v>
      </c>
      <c r="K25" s="58">
        <f t="shared" si="1"/>
        <v>0</v>
      </c>
      <c r="L25" s="1"/>
      <c r="N25"/>
    </row>
    <row r="27" spans="1:14">
      <c r="A27" s="411" t="s">
        <v>198</v>
      </c>
      <c r="B27" s="412"/>
      <c r="C27" s="412"/>
      <c r="D27" s="412"/>
      <c r="E27" s="412"/>
      <c r="F27" s="412"/>
      <c r="G27" s="412"/>
      <c r="H27" s="412"/>
      <c r="I27" s="412"/>
      <c r="J27" s="412"/>
      <c r="K27" s="413"/>
    </row>
  </sheetData>
  <mergeCells count="14">
    <mergeCell ref="A25:E25"/>
    <mergeCell ref="A27:K27"/>
    <mergeCell ref="A1:K1"/>
    <mergeCell ref="A3:E3"/>
    <mergeCell ref="J3:K3"/>
    <mergeCell ref="A4:A6"/>
    <mergeCell ref="B4:B6"/>
    <mergeCell ref="C4:C6"/>
    <mergeCell ref="D4:D6"/>
    <mergeCell ref="E4:E6"/>
    <mergeCell ref="F4:K4"/>
    <mergeCell ref="F5:G5"/>
    <mergeCell ref="H5:I5"/>
    <mergeCell ref="J5:K5"/>
  </mergeCells>
  <phoneticPr fontId="35" type="noConversion"/>
  <pageMargins left="0.78740157480314965" right="0.15748031496062992" top="0.70866141732283472" bottom="0.51181102362204722" header="0.43307086614173229" footer="0.31496062992125984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7"/>
  <sheetViews>
    <sheetView showGridLines="0" zoomScale="85" zoomScaleNormal="85" zoomScaleSheetLayoutView="85" workbookViewId="0">
      <selection sqref="A1:K1"/>
    </sheetView>
  </sheetViews>
  <sheetFormatPr defaultRowHeight="16.5"/>
  <cols>
    <col min="1" max="1" width="7.875" customWidth="1"/>
    <col min="2" max="2" width="9.125" customWidth="1"/>
    <col min="3" max="3" width="10" customWidth="1"/>
    <col min="4" max="5" width="9.125" customWidth="1"/>
    <col min="6" max="6" width="11.75" customWidth="1"/>
    <col min="7" max="7" width="18.875" customWidth="1"/>
    <col min="8" max="8" width="11.75" customWidth="1"/>
    <col min="9" max="9" width="18.875" customWidth="1"/>
    <col min="10" max="10" width="11.75" customWidth="1"/>
    <col min="11" max="11" width="18.875" customWidth="1"/>
    <col min="12" max="12" width="10.875" style="20" bestFit="1" customWidth="1"/>
    <col min="13" max="14" width="9.375" bestFit="1" customWidth="1"/>
  </cols>
  <sheetData>
    <row r="1" spans="1:14" ht="29.25" customHeight="1">
      <c r="A1" s="361" t="s">
        <v>64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</row>
    <row r="2" spans="1:14" ht="9.75" customHeight="1">
      <c r="A2" s="29"/>
      <c r="B2" s="29"/>
      <c r="C2" s="87"/>
      <c r="D2" s="87"/>
      <c r="E2" s="29"/>
      <c r="F2" s="29"/>
      <c r="G2" s="29"/>
      <c r="H2" s="29"/>
      <c r="I2" s="29"/>
      <c r="J2" s="29"/>
      <c r="K2" s="29"/>
    </row>
    <row r="3" spans="1:14">
      <c r="A3" s="380"/>
      <c r="B3" s="380"/>
      <c r="C3" s="380"/>
      <c r="D3" s="380"/>
      <c r="E3" s="380"/>
      <c r="F3" s="17"/>
      <c r="G3" s="18"/>
      <c r="H3" s="17"/>
      <c r="I3" s="18"/>
      <c r="J3" s="376" t="s">
        <v>32</v>
      </c>
      <c r="K3" s="376"/>
    </row>
    <row r="4" spans="1:14" ht="24.75" customHeight="1">
      <c r="A4" s="414" t="s">
        <v>0</v>
      </c>
      <c r="B4" s="414" t="s">
        <v>1</v>
      </c>
      <c r="C4" s="405" t="s">
        <v>194</v>
      </c>
      <c r="D4" s="405" t="s">
        <v>195</v>
      </c>
      <c r="E4" s="405" t="s">
        <v>193</v>
      </c>
      <c r="F4" s="409" t="s">
        <v>172</v>
      </c>
      <c r="G4" s="409"/>
      <c r="H4" s="409"/>
      <c r="I4" s="409"/>
      <c r="J4" s="409"/>
      <c r="K4" s="410"/>
    </row>
    <row r="5" spans="1:14" ht="24.75" customHeight="1">
      <c r="A5" s="414"/>
      <c r="B5" s="414"/>
      <c r="C5" s="406"/>
      <c r="D5" s="406"/>
      <c r="E5" s="406"/>
      <c r="F5" s="408" t="s">
        <v>35</v>
      </c>
      <c r="G5" s="410"/>
      <c r="H5" s="415" t="s">
        <v>36</v>
      </c>
      <c r="I5" s="415"/>
      <c r="J5" s="395" t="s">
        <v>65</v>
      </c>
      <c r="K5" s="396"/>
    </row>
    <row r="6" spans="1:14" ht="20.25" customHeight="1">
      <c r="A6" s="414"/>
      <c r="B6" s="414"/>
      <c r="C6" s="407"/>
      <c r="D6" s="407"/>
      <c r="E6" s="407"/>
      <c r="F6" s="53" t="s">
        <v>8</v>
      </c>
      <c r="G6" s="53" t="s">
        <v>9</v>
      </c>
      <c r="H6" s="54" t="s">
        <v>8</v>
      </c>
      <c r="I6" s="53" t="s">
        <v>29</v>
      </c>
      <c r="J6" s="54" t="s">
        <v>66</v>
      </c>
      <c r="K6" s="56" t="s">
        <v>67</v>
      </c>
    </row>
    <row r="7" spans="1:14" ht="20.25" customHeight="1">
      <c r="A7" s="21">
        <v>1</v>
      </c>
      <c r="B7" s="21" t="s">
        <v>10</v>
      </c>
      <c r="C7" s="21"/>
      <c r="D7" s="21"/>
      <c r="E7" s="21"/>
      <c r="F7" s="4"/>
      <c r="G7" s="4"/>
      <c r="H7" s="6"/>
      <c r="I7" s="6"/>
      <c r="J7" s="57">
        <f>F7+H7</f>
        <v>0</v>
      </c>
      <c r="K7" s="57">
        <f>G7+I7</f>
        <v>0</v>
      </c>
    </row>
    <row r="8" spans="1:14" ht="20.25" customHeight="1">
      <c r="A8" s="21">
        <v>2</v>
      </c>
      <c r="B8" s="21" t="s">
        <v>11</v>
      </c>
      <c r="C8" s="21"/>
      <c r="D8" s="21"/>
      <c r="E8" s="21"/>
      <c r="F8" s="4"/>
      <c r="G8" s="4"/>
      <c r="H8" s="6"/>
      <c r="I8" s="6"/>
      <c r="J8" s="57">
        <f t="shared" ref="J8:J24" si="0">F8+H8</f>
        <v>0</v>
      </c>
      <c r="K8" s="57">
        <f t="shared" ref="K8:K24" si="1">G8+I8</f>
        <v>0</v>
      </c>
      <c r="M8" s="1"/>
    </row>
    <row r="9" spans="1:14" ht="20.25" customHeight="1">
      <c r="A9" s="21">
        <v>3</v>
      </c>
      <c r="B9" s="28" t="s">
        <v>12</v>
      </c>
      <c r="C9" s="28"/>
      <c r="D9" s="28"/>
      <c r="E9" s="21"/>
      <c r="F9" s="8"/>
      <c r="G9" s="8"/>
      <c r="H9" s="5"/>
      <c r="I9" s="8"/>
      <c r="J9" s="57">
        <f t="shared" si="0"/>
        <v>0</v>
      </c>
      <c r="K9" s="57">
        <f t="shared" si="1"/>
        <v>0</v>
      </c>
    </row>
    <row r="10" spans="1:14" ht="20.25" customHeight="1">
      <c r="A10" s="21">
        <v>4</v>
      </c>
      <c r="B10" s="21" t="s">
        <v>13</v>
      </c>
      <c r="C10" s="21"/>
      <c r="D10" s="21"/>
      <c r="E10" s="21"/>
      <c r="F10" s="4"/>
      <c r="G10" s="4"/>
      <c r="H10" s="6"/>
      <c r="I10" s="6"/>
      <c r="J10" s="57">
        <f t="shared" si="0"/>
        <v>0</v>
      </c>
      <c r="K10" s="57">
        <f t="shared" si="1"/>
        <v>0</v>
      </c>
      <c r="M10" s="1"/>
    </row>
    <row r="11" spans="1:14" s="3" customFormat="1" ht="20.25" customHeight="1">
      <c r="A11" s="21">
        <v>5</v>
      </c>
      <c r="B11" s="22" t="s">
        <v>14</v>
      </c>
      <c r="C11" s="22"/>
      <c r="D11" s="22"/>
      <c r="E11" s="21"/>
      <c r="F11" s="4"/>
      <c r="G11" s="4"/>
      <c r="H11" s="6"/>
      <c r="I11" s="6"/>
      <c r="J11" s="57">
        <f t="shared" si="0"/>
        <v>0</v>
      </c>
      <c r="K11" s="57">
        <f t="shared" si="1"/>
        <v>0</v>
      </c>
      <c r="L11" s="25"/>
      <c r="M11" s="2"/>
      <c r="N11" s="2"/>
    </row>
    <row r="12" spans="1:14" ht="20.25" customHeight="1">
      <c r="A12" s="21">
        <v>6</v>
      </c>
      <c r="B12" s="21" t="s">
        <v>15</v>
      </c>
      <c r="C12" s="21"/>
      <c r="D12" s="21"/>
      <c r="E12" s="21"/>
      <c r="F12" s="4"/>
      <c r="G12" s="4"/>
      <c r="H12" s="6"/>
      <c r="I12" s="6"/>
      <c r="J12" s="57">
        <f t="shared" si="0"/>
        <v>0</v>
      </c>
      <c r="K12" s="57">
        <f t="shared" si="1"/>
        <v>0</v>
      </c>
      <c r="L12" s="26"/>
    </row>
    <row r="13" spans="1:14" ht="20.25" customHeight="1">
      <c r="A13" s="21">
        <v>7</v>
      </c>
      <c r="B13" s="22" t="s">
        <v>16</v>
      </c>
      <c r="C13" s="22"/>
      <c r="D13" s="22"/>
      <c r="E13" s="21"/>
      <c r="F13" s="4"/>
      <c r="G13" s="4"/>
      <c r="H13" s="6"/>
      <c r="I13" s="6"/>
      <c r="J13" s="57">
        <f t="shared" si="0"/>
        <v>0</v>
      </c>
      <c r="K13" s="57">
        <f t="shared" si="1"/>
        <v>0</v>
      </c>
      <c r="M13" s="1"/>
    </row>
    <row r="14" spans="1:14" ht="20.25" customHeight="1">
      <c r="A14" s="21">
        <v>8</v>
      </c>
      <c r="B14" s="23" t="s">
        <v>17</v>
      </c>
      <c r="C14" s="23"/>
      <c r="D14" s="23"/>
      <c r="E14" s="21"/>
      <c r="F14" s="13"/>
      <c r="G14" s="4"/>
      <c r="H14" s="12"/>
      <c r="I14" s="6"/>
      <c r="J14" s="57">
        <f t="shared" si="0"/>
        <v>0</v>
      </c>
      <c r="K14" s="57">
        <f t="shared" si="1"/>
        <v>0</v>
      </c>
    </row>
    <row r="15" spans="1:14" ht="20.25" customHeight="1">
      <c r="A15" s="21">
        <v>9</v>
      </c>
      <c r="B15" s="21" t="s">
        <v>18</v>
      </c>
      <c r="C15" s="21"/>
      <c r="D15" s="21"/>
      <c r="E15" s="21"/>
      <c r="F15" s="4"/>
      <c r="G15" s="4"/>
      <c r="H15" s="6"/>
      <c r="I15" s="6"/>
      <c r="J15" s="57">
        <f t="shared" si="0"/>
        <v>0</v>
      </c>
      <c r="K15" s="57">
        <f t="shared" si="1"/>
        <v>0</v>
      </c>
    </row>
    <row r="16" spans="1:14" ht="20.25" customHeight="1">
      <c r="A16" s="21">
        <v>10</v>
      </c>
      <c r="B16" s="21" t="s">
        <v>19</v>
      </c>
      <c r="C16" s="21"/>
      <c r="D16" s="21"/>
      <c r="E16" s="21"/>
      <c r="F16" s="4"/>
      <c r="G16" s="4"/>
      <c r="H16" s="6"/>
      <c r="I16" s="6"/>
      <c r="J16" s="57">
        <f t="shared" si="0"/>
        <v>0</v>
      </c>
      <c r="K16" s="57">
        <f t="shared" si="1"/>
        <v>0</v>
      </c>
      <c r="M16" s="1"/>
    </row>
    <row r="17" spans="1:13" ht="20.25" customHeight="1">
      <c r="A17" s="21">
        <v>11</v>
      </c>
      <c r="B17" s="21" t="s">
        <v>20</v>
      </c>
      <c r="C17" s="21"/>
      <c r="D17" s="21"/>
      <c r="E17" s="21"/>
      <c r="F17" s="4"/>
      <c r="G17" s="4"/>
      <c r="H17" s="6"/>
      <c r="I17" s="6"/>
      <c r="J17" s="57">
        <f t="shared" si="0"/>
        <v>0</v>
      </c>
      <c r="K17" s="57">
        <f t="shared" si="1"/>
        <v>0</v>
      </c>
    </row>
    <row r="18" spans="1:13" ht="20.25" customHeight="1">
      <c r="A18" s="21">
        <v>12</v>
      </c>
      <c r="B18" s="21" t="s">
        <v>21</v>
      </c>
      <c r="C18" s="21"/>
      <c r="D18" s="21"/>
      <c r="E18" s="21"/>
      <c r="F18" s="4"/>
      <c r="G18" s="4"/>
      <c r="H18" s="6"/>
      <c r="I18" s="6"/>
      <c r="J18" s="57">
        <f t="shared" si="0"/>
        <v>0</v>
      </c>
      <c r="K18" s="57">
        <f t="shared" si="1"/>
        <v>0</v>
      </c>
      <c r="M18" s="1"/>
    </row>
    <row r="19" spans="1:13" ht="20.25" customHeight="1">
      <c r="A19" s="21">
        <v>13</v>
      </c>
      <c r="B19" s="21" t="s">
        <v>30</v>
      </c>
      <c r="C19" s="21"/>
      <c r="D19" s="21"/>
      <c r="E19" s="21"/>
      <c r="F19" s="4"/>
      <c r="G19" s="4"/>
      <c r="H19" s="6"/>
      <c r="I19" s="6"/>
      <c r="J19" s="57">
        <f t="shared" si="0"/>
        <v>0</v>
      </c>
      <c r="K19" s="57">
        <f t="shared" si="1"/>
        <v>0</v>
      </c>
    </row>
    <row r="20" spans="1:13" ht="20.25" customHeight="1">
      <c r="A20" s="21">
        <v>14</v>
      </c>
      <c r="B20" s="21" t="s">
        <v>22</v>
      </c>
      <c r="C20" s="21"/>
      <c r="D20" s="21"/>
      <c r="E20" s="21"/>
      <c r="F20" s="4"/>
      <c r="G20" s="4"/>
      <c r="H20" s="6"/>
      <c r="I20" s="6"/>
      <c r="J20" s="57">
        <f t="shared" si="0"/>
        <v>0</v>
      </c>
      <c r="K20" s="57">
        <f t="shared" si="1"/>
        <v>0</v>
      </c>
    </row>
    <row r="21" spans="1:13" ht="20.25" customHeight="1">
      <c r="A21" s="21">
        <v>15</v>
      </c>
      <c r="B21" s="21" t="s">
        <v>23</v>
      </c>
      <c r="C21" s="21"/>
      <c r="D21" s="21"/>
      <c r="E21" s="21"/>
      <c r="F21" s="4"/>
      <c r="G21" s="4"/>
      <c r="H21" s="6"/>
      <c r="I21" s="6"/>
      <c r="J21" s="57">
        <f t="shared" si="0"/>
        <v>0</v>
      </c>
      <c r="K21" s="57">
        <f t="shared" si="1"/>
        <v>0</v>
      </c>
    </row>
    <row r="22" spans="1:13" ht="20.25" customHeight="1">
      <c r="A22" s="21">
        <v>16</v>
      </c>
      <c r="B22" s="21" t="s">
        <v>24</v>
      </c>
      <c r="C22" s="21"/>
      <c r="D22" s="21"/>
      <c r="E22" s="21"/>
      <c r="F22" s="4"/>
      <c r="G22" s="4"/>
      <c r="H22" s="6"/>
      <c r="I22" s="6"/>
      <c r="J22" s="57">
        <f t="shared" si="0"/>
        <v>0</v>
      </c>
      <c r="K22" s="57">
        <f t="shared" si="1"/>
        <v>0</v>
      </c>
    </row>
    <row r="23" spans="1:13" ht="20.25" customHeight="1">
      <c r="A23" s="21">
        <v>17</v>
      </c>
      <c r="B23" s="21" t="s">
        <v>33</v>
      </c>
      <c r="C23" s="21"/>
      <c r="D23" s="21"/>
      <c r="E23" s="21"/>
      <c r="F23" s="4"/>
      <c r="G23" s="4"/>
      <c r="H23" s="6"/>
      <c r="I23" s="6"/>
      <c r="J23" s="57">
        <f t="shared" si="0"/>
        <v>0</v>
      </c>
      <c r="K23" s="57">
        <f t="shared" si="1"/>
        <v>0</v>
      </c>
    </row>
    <row r="24" spans="1:13" ht="20.25" customHeight="1">
      <c r="A24" s="21">
        <v>18</v>
      </c>
      <c r="B24" s="24" t="s">
        <v>25</v>
      </c>
      <c r="C24" s="24"/>
      <c r="D24" s="24"/>
      <c r="E24" s="21"/>
      <c r="F24" s="4"/>
      <c r="G24" s="4"/>
      <c r="H24" s="6"/>
      <c r="I24" s="6"/>
      <c r="J24" s="57">
        <f t="shared" si="0"/>
        <v>0</v>
      </c>
      <c r="K24" s="57">
        <f t="shared" si="1"/>
        <v>0</v>
      </c>
    </row>
    <row r="25" spans="1:13" ht="20.25" customHeight="1">
      <c r="A25" s="416" t="s">
        <v>26</v>
      </c>
      <c r="B25" s="417"/>
      <c r="C25" s="417"/>
      <c r="D25" s="417"/>
      <c r="E25" s="418"/>
      <c r="F25" s="14">
        <f t="shared" ref="F25:K25" si="2">SUM(F7:F24)</f>
        <v>0</v>
      </c>
      <c r="G25" s="14">
        <f t="shared" si="2"/>
        <v>0</v>
      </c>
      <c r="H25" s="14">
        <f t="shared" si="2"/>
        <v>0</v>
      </c>
      <c r="I25" s="14">
        <f t="shared" si="2"/>
        <v>0</v>
      </c>
      <c r="J25" s="58">
        <f t="shared" si="2"/>
        <v>0</v>
      </c>
      <c r="K25" s="58">
        <f t="shared" si="2"/>
        <v>0</v>
      </c>
      <c r="L25" s="27"/>
    </row>
    <row r="26" spans="1:1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7"/>
    </row>
    <row r="27" spans="1:13">
      <c r="A27" s="400" t="s">
        <v>198</v>
      </c>
      <c r="B27" s="401"/>
      <c r="C27" s="401"/>
      <c r="D27" s="401"/>
      <c r="E27" s="401"/>
      <c r="F27" s="401"/>
      <c r="G27" s="401"/>
      <c r="H27" s="401"/>
      <c r="I27" s="401"/>
      <c r="J27" s="401"/>
      <c r="K27" s="402"/>
    </row>
  </sheetData>
  <mergeCells count="14">
    <mergeCell ref="A27:K27"/>
    <mergeCell ref="J5:K5"/>
    <mergeCell ref="A25:E25"/>
    <mergeCell ref="A1:K1"/>
    <mergeCell ref="A3:E3"/>
    <mergeCell ref="J3:K3"/>
    <mergeCell ref="A4:A6"/>
    <mergeCell ref="B4:B6"/>
    <mergeCell ref="E4:E6"/>
    <mergeCell ref="F4:K4"/>
    <mergeCell ref="F5:G5"/>
    <mergeCell ref="H5:I5"/>
    <mergeCell ref="C4:C6"/>
    <mergeCell ref="D4:D6"/>
  </mergeCells>
  <phoneticPr fontId="35" type="noConversion"/>
  <pageMargins left="0.78740157480314965" right="0.15748031496062992" top="0.70866141732283472" bottom="0.51181102362204722" header="0.43307086614173229" footer="0.31496062992125984"/>
  <pageSetup paperSize="9" scale="7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9"/>
  <sheetViews>
    <sheetView showGridLines="0" zoomScale="85" zoomScaleNormal="85" zoomScaleSheetLayoutView="85" workbookViewId="0">
      <selection sqref="A1:H1"/>
    </sheetView>
  </sheetViews>
  <sheetFormatPr defaultRowHeight="16.5"/>
  <cols>
    <col min="1" max="1" width="6" customWidth="1"/>
    <col min="2" max="2" width="12.875" customWidth="1"/>
    <col min="3" max="3" width="12" customWidth="1"/>
    <col min="4" max="4" width="17" customWidth="1"/>
    <col min="5" max="5" width="12" customWidth="1"/>
    <col min="6" max="6" width="17" customWidth="1"/>
    <col min="7" max="7" width="12" customWidth="1"/>
    <col min="8" max="8" width="17" customWidth="1"/>
    <col min="9" max="9" width="10.875" style="20" bestFit="1" customWidth="1"/>
    <col min="10" max="11" width="9.375" bestFit="1" customWidth="1"/>
  </cols>
  <sheetData>
    <row r="1" spans="1:8" ht="29.25" customHeight="1">
      <c r="A1" s="361" t="s">
        <v>64</v>
      </c>
      <c r="B1" s="361"/>
      <c r="C1" s="361"/>
      <c r="D1" s="361"/>
      <c r="E1" s="361"/>
      <c r="F1" s="361"/>
      <c r="G1" s="361"/>
      <c r="H1" s="361"/>
    </row>
    <row r="2" spans="1:8" ht="9.75" customHeight="1">
      <c r="A2" s="85"/>
      <c r="B2" s="85"/>
      <c r="C2" s="85"/>
      <c r="D2" s="85"/>
      <c r="E2" s="85"/>
      <c r="F2" s="85"/>
      <c r="G2" s="85"/>
      <c r="H2" s="85"/>
    </row>
    <row r="3" spans="1:8">
      <c r="A3" s="380"/>
      <c r="B3" s="380"/>
      <c r="C3" s="16"/>
      <c r="D3" s="16"/>
      <c r="E3" s="17"/>
      <c r="F3" s="18"/>
      <c r="G3" s="376" t="s">
        <v>41</v>
      </c>
      <c r="H3" s="376"/>
    </row>
    <row r="4" spans="1:8" ht="24.75" customHeight="1">
      <c r="A4" s="414" t="s">
        <v>0</v>
      </c>
      <c r="B4" s="414" t="s">
        <v>69</v>
      </c>
      <c r="C4" s="408" t="s">
        <v>172</v>
      </c>
      <c r="D4" s="409"/>
      <c r="E4" s="409"/>
      <c r="F4" s="409"/>
      <c r="G4" s="409"/>
      <c r="H4" s="410"/>
    </row>
    <row r="5" spans="1:8" ht="26.25" customHeight="1">
      <c r="A5" s="414"/>
      <c r="B5" s="414"/>
      <c r="C5" s="415" t="s">
        <v>31</v>
      </c>
      <c r="D5" s="415"/>
      <c r="E5" s="415" t="s">
        <v>4</v>
      </c>
      <c r="F5" s="415"/>
      <c r="G5" s="395" t="s">
        <v>65</v>
      </c>
      <c r="H5" s="396"/>
    </row>
    <row r="6" spans="1:8" ht="20.25" customHeight="1">
      <c r="A6" s="414"/>
      <c r="B6" s="414"/>
      <c r="C6" s="86" t="s">
        <v>8</v>
      </c>
      <c r="D6" s="86" t="s">
        <v>9</v>
      </c>
      <c r="E6" s="86" t="s">
        <v>8</v>
      </c>
      <c r="F6" s="86" t="s">
        <v>9</v>
      </c>
      <c r="G6" s="54" t="s">
        <v>28</v>
      </c>
      <c r="H6" s="56" t="s">
        <v>29</v>
      </c>
    </row>
    <row r="7" spans="1:8" ht="28.5" customHeight="1">
      <c r="A7" s="21"/>
      <c r="B7" s="21"/>
      <c r="C7" s="7"/>
      <c r="D7" s="4"/>
      <c r="E7" s="4"/>
      <c r="F7" s="4"/>
      <c r="G7" s="57">
        <f>C7+E7</f>
        <v>0</v>
      </c>
      <c r="H7" s="57">
        <f>D7+F7</f>
        <v>0</v>
      </c>
    </row>
    <row r="9" spans="1:8">
      <c r="A9" s="3" t="s">
        <v>63</v>
      </c>
    </row>
  </sheetData>
  <mergeCells count="9">
    <mergeCell ref="G5:H5"/>
    <mergeCell ref="A1:H1"/>
    <mergeCell ref="A3:B3"/>
    <mergeCell ref="G3:H3"/>
    <mergeCell ref="A4:A6"/>
    <mergeCell ref="B4:B6"/>
    <mergeCell ref="C4:H4"/>
    <mergeCell ref="C5:D5"/>
    <mergeCell ref="E5:F5"/>
  </mergeCells>
  <phoneticPr fontId="35" type="noConversion"/>
  <pageMargins left="0.39370078740157483" right="0.15748031496062992" top="0.70866141732283472" bottom="0.51181102362204722" header="0.43307086614173229" footer="0.31496062992125984"/>
  <pageSetup paperSize="9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9"/>
  <sheetViews>
    <sheetView showGridLines="0" zoomScale="85" zoomScaleNormal="85" zoomScaleSheetLayoutView="85" workbookViewId="0">
      <selection sqref="A1:H1"/>
    </sheetView>
  </sheetViews>
  <sheetFormatPr defaultRowHeight="16.5"/>
  <cols>
    <col min="1" max="1" width="6" customWidth="1"/>
    <col min="2" max="2" width="12.875" customWidth="1"/>
    <col min="3" max="3" width="9.125" customWidth="1"/>
    <col min="4" max="4" width="13" customWidth="1"/>
    <col min="5" max="5" width="9.125" customWidth="1"/>
    <col min="6" max="6" width="13" customWidth="1"/>
    <col min="7" max="7" width="7" bestFit="1" customWidth="1"/>
    <col min="8" max="8" width="13" customWidth="1"/>
    <col min="9" max="9" width="10.875" style="20" bestFit="1" customWidth="1"/>
    <col min="10" max="11" width="9.375" bestFit="1" customWidth="1"/>
  </cols>
  <sheetData>
    <row r="1" spans="1:8" ht="29.25" customHeight="1">
      <c r="A1" s="361" t="s">
        <v>64</v>
      </c>
      <c r="B1" s="361"/>
      <c r="C1" s="361"/>
      <c r="D1" s="361"/>
      <c r="E1" s="361"/>
      <c r="F1" s="361"/>
      <c r="G1" s="361"/>
      <c r="H1" s="361"/>
    </row>
    <row r="2" spans="1:8" ht="9.75" customHeight="1">
      <c r="A2" s="29"/>
      <c r="B2" s="29"/>
      <c r="C2" s="29"/>
      <c r="D2" s="29"/>
      <c r="E2" s="29"/>
      <c r="F2" s="29"/>
      <c r="G2" s="29"/>
      <c r="H2" s="29"/>
    </row>
    <row r="3" spans="1:8">
      <c r="A3" s="380"/>
      <c r="B3" s="380"/>
      <c r="C3" s="17"/>
      <c r="D3" s="18"/>
      <c r="E3" s="18"/>
      <c r="F3" s="18"/>
      <c r="G3" s="376" t="s">
        <v>41</v>
      </c>
      <c r="H3" s="376"/>
    </row>
    <row r="4" spans="1:8" ht="24.75" customHeight="1">
      <c r="A4" s="414" t="s">
        <v>0</v>
      </c>
      <c r="B4" s="414" t="s">
        <v>69</v>
      </c>
      <c r="C4" s="408" t="s">
        <v>176</v>
      </c>
      <c r="D4" s="409"/>
      <c r="E4" s="409"/>
      <c r="F4" s="409"/>
      <c r="G4" s="409"/>
      <c r="H4" s="410"/>
    </row>
    <row r="5" spans="1:8" ht="24.75" customHeight="1">
      <c r="A5" s="414"/>
      <c r="B5" s="414"/>
      <c r="C5" s="415" t="s">
        <v>5</v>
      </c>
      <c r="D5" s="415"/>
      <c r="E5" s="415" t="s">
        <v>27</v>
      </c>
      <c r="F5" s="415"/>
      <c r="G5" s="395" t="s">
        <v>65</v>
      </c>
      <c r="H5" s="396"/>
    </row>
    <row r="6" spans="1:8" ht="20.25" customHeight="1">
      <c r="A6" s="414"/>
      <c r="B6" s="414"/>
      <c r="C6" s="54" t="s">
        <v>8</v>
      </c>
      <c r="D6" s="53" t="s">
        <v>29</v>
      </c>
      <c r="E6" s="55" t="s">
        <v>28</v>
      </c>
      <c r="F6" s="53" t="s">
        <v>9</v>
      </c>
      <c r="G6" s="54" t="s">
        <v>66</v>
      </c>
      <c r="H6" s="56" t="s">
        <v>67</v>
      </c>
    </row>
    <row r="7" spans="1:8" ht="28.5" customHeight="1">
      <c r="A7" s="21"/>
      <c r="B7" s="21"/>
      <c r="C7" s="6"/>
      <c r="D7" s="6"/>
      <c r="E7" s="6"/>
      <c r="F7" s="6"/>
      <c r="G7" s="57">
        <f>C7+E7</f>
        <v>0</v>
      </c>
      <c r="H7" s="57">
        <f>D7+F7</f>
        <v>0</v>
      </c>
    </row>
    <row r="9" spans="1:8">
      <c r="A9" s="3" t="s">
        <v>63</v>
      </c>
    </row>
  </sheetData>
  <mergeCells count="9">
    <mergeCell ref="E5:F5"/>
    <mergeCell ref="G5:H5"/>
    <mergeCell ref="A1:H1"/>
    <mergeCell ref="A3:B3"/>
    <mergeCell ref="G3:H3"/>
    <mergeCell ref="A4:A6"/>
    <mergeCell ref="B4:B6"/>
    <mergeCell ref="C4:H4"/>
    <mergeCell ref="C5:D5"/>
  </mergeCells>
  <phoneticPr fontId="35" type="noConversion"/>
  <pageMargins left="0.39370078740157483" right="0.15748031496062992" top="0.70866141732283472" bottom="0.51181102362204722" header="0.43307086614173229" footer="0.31496062992125984"/>
  <pageSetup paperSize="9" scale="7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9"/>
  <sheetViews>
    <sheetView showGridLines="0" zoomScale="85" zoomScaleNormal="85" zoomScaleSheetLayoutView="85" workbookViewId="0">
      <selection sqref="A1:H1"/>
    </sheetView>
  </sheetViews>
  <sheetFormatPr defaultRowHeight="16.5"/>
  <cols>
    <col min="1" max="1" width="6" customWidth="1"/>
    <col min="2" max="2" width="16.25" customWidth="1"/>
    <col min="3" max="3" width="10.625" customWidth="1"/>
    <col min="4" max="4" width="20.625" customWidth="1"/>
    <col min="5" max="5" width="10.625" customWidth="1"/>
    <col min="6" max="6" width="20.625" customWidth="1"/>
    <col min="7" max="7" width="10.625" customWidth="1"/>
    <col min="8" max="8" width="20.625" customWidth="1"/>
    <col min="9" max="9" width="10.875" style="20" bestFit="1" customWidth="1"/>
    <col min="10" max="11" width="9.375" bestFit="1" customWidth="1"/>
  </cols>
  <sheetData>
    <row r="1" spans="1:8" ht="29.25" customHeight="1">
      <c r="A1" s="361" t="s">
        <v>64</v>
      </c>
      <c r="B1" s="361"/>
      <c r="C1" s="361"/>
      <c r="D1" s="361"/>
      <c r="E1" s="361"/>
      <c r="F1" s="361"/>
      <c r="G1" s="361"/>
      <c r="H1" s="361"/>
    </row>
    <row r="2" spans="1:8" ht="9.75" customHeight="1">
      <c r="A2" s="29"/>
      <c r="B2" s="29"/>
      <c r="C2" s="29"/>
      <c r="D2" s="29"/>
      <c r="E2" s="29"/>
      <c r="F2" s="29"/>
      <c r="G2" s="29"/>
      <c r="H2" s="29"/>
    </row>
    <row r="3" spans="1:8">
      <c r="A3" s="380"/>
      <c r="B3" s="380"/>
      <c r="C3" s="17"/>
      <c r="D3" s="18"/>
      <c r="E3" s="17"/>
      <c r="F3" s="18"/>
      <c r="G3" s="376" t="s">
        <v>41</v>
      </c>
      <c r="H3" s="376"/>
    </row>
    <row r="4" spans="1:8" ht="24.75" customHeight="1">
      <c r="A4" s="414" t="s">
        <v>0</v>
      </c>
      <c r="B4" s="414" t="s">
        <v>69</v>
      </c>
      <c r="C4" s="409" t="s">
        <v>172</v>
      </c>
      <c r="D4" s="409"/>
      <c r="E4" s="409"/>
      <c r="F4" s="409"/>
      <c r="G4" s="409"/>
      <c r="H4" s="410"/>
    </row>
    <row r="5" spans="1:8" ht="24.75" customHeight="1">
      <c r="A5" s="414"/>
      <c r="B5" s="414"/>
      <c r="C5" s="408" t="s">
        <v>35</v>
      </c>
      <c r="D5" s="410"/>
      <c r="E5" s="415" t="s">
        <v>36</v>
      </c>
      <c r="F5" s="415"/>
      <c r="G5" s="395" t="s">
        <v>65</v>
      </c>
      <c r="H5" s="396"/>
    </row>
    <row r="6" spans="1:8" ht="20.25" customHeight="1">
      <c r="A6" s="414"/>
      <c r="B6" s="414"/>
      <c r="C6" s="53" t="s">
        <v>8</v>
      </c>
      <c r="D6" s="53" t="s">
        <v>9</v>
      </c>
      <c r="E6" s="54" t="s">
        <v>8</v>
      </c>
      <c r="F6" s="53" t="s">
        <v>29</v>
      </c>
      <c r="G6" s="54" t="s">
        <v>66</v>
      </c>
      <c r="H6" s="56" t="s">
        <v>67</v>
      </c>
    </row>
    <row r="7" spans="1:8" ht="20.25" customHeight="1">
      <c r="A7" s="21"/>
      <c r="B7" s="21"/>
      <c r="C7" s="4"/>
      <c r="D7" s="4"/>
      <c r="E7" s="6"/>
      <c r="F7" s="6"/>
      <c r="G7" s="57">
        <f>C7+E7</f>
        <v>0</v>
      </c>
      <c r="H7" s="57">
        <f>D7+F7</f>
        <v>0</v>
      </c>
    </row>
    <row r="9" spans="1:8">
      <c r="A9" s="3" t="s">
        <v>63</v>
      </c>
    </row>
  </sheetData>
  <mergeCells count="9">
    <mergeCell ref="A1:H1"/>
    <mergeCell ref="A3:B3"/>
    <mergeCell ref="G3:H3"/>
    <mergeCell ref="A4:A6"/>
    <mergeCell ref="B4:B6"/>
    <mergeCell ref="C4:H4"/>
    <mergeCell ref="C5:D5"/>
    <mergeCell ref="E5:F5"/>
    <mergeCell ref="G5:H5"/>
  </mergeCells>
  <phoneticPr fontId="35" type="noConversion"/>
  <pageMargins left="0.39370078740157483" right="0.15748031496062992" top="0.70866141732283472" bottom="0.51181102362204722" header="0.43307086614173229" footer="0.31496062992125984"/>
  <pageSetup paperSize="9" scale="7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25"/>
  <sheetViews>
    <sheetView showGridLines="0" zoomScale="85" zoomScaleNormal="85" workbookViewId="0">
      <selection sqref="A1:L1"/>
    </sheetView>
  </sheetViews>
  <sheetFormatPr defaultRowHeight="16.5"/>
  <cols>
    <col min="1" max="1" width="5.5" customWidth="1"/>
    <col min="2" max="2" width="2.875" customWidth="1"/>
    <col min="3" max="3" width="10" customWidth="1"/>
    <col min="4" max="4" width="3.625" customWidth="1"/>
    <col min="5" max="5" width="8.625" customWidth="1"/>
    <col min="6" max="11" width="6.125" customWidth="1"/>
    <col min="12" max="12" width="11.625" customWidth="1"/>
  </cols>
  <sheetData>
    <row r="1" spans="1:12" ht="42.75" customHeight="1">
      <c r="A1" s="422" t="s">
        <v>236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4"/>
    </row>
    <row r="2" spans="1:12" ht="36" customHeight="1">
      <c r="A2" s="419" t="s">
        <v>83</v>
      </c>
      <c r="B2" s="420"/>
      <c r="C2" s="420"/>
      <c r="D2" s="421"/>
      <c r="E2" s="419" t="s">
        <v>93</v>
      </c>
      <c r="F2" s="421"/>
      <c r="G2" s="419" t="s">
        <v>82</v>
      </c>
      <c r="H2" s="420"/>
      <c r="I2" s="420"/>
      <c r="J2" s="419" t="s">
        <v>84</v>
      </c>
      <c r="K2" s="420"/>
      <c r="L2" s="421"/>
    </row>
    <row r="3" spans="1:12" ht="36" customHeight="1">
      <c r="A3" s="419" t="s">
        <v>90</v>
      </c>
      <c r="B3" s="420"/>
      <c r="C3" s="420"/>
      <c r="D3" s="420"/>
      <c r="E3" s="420"/>
      <c r="F3" s="47"/>
      <c r="G3" s="89" t="s">
        <v>92</v>
      </c>
      <c r="H3" s="47"/>
      <c r="I3" s="90" t="s">
        <v>91</v>
      </c>
      <c r="J3" s="419" t="s">
        <v>79</v>
      </c>
      <c r="K3" s="420"/>
      <c r="L3" s="421"/>
    </row>
    <row r="4" spans="1:12" ht="24.95" customHeight="1">
      <c r="A4" s="425" t="s">
        <v>70</v>
      </c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7"/>
    </row>
    <row r="5" spans="1:12" ht="24.95" customHeight="1">
      <c r="A5" s="428" t="s">
        <v>77</v>
      </c>
      <c r="B5" s="431" t="s">
        <v>71</v>
      </c>
      <c r="C5" s="432"/>
      <c r="D5" s="431" t="s">
        <v>72</v>
      </c>
      <c r="E5" s="433"/>
      <c r="F5" s="431" t="s">
        <v>72</v>
      </c>
      <c r="G5" s="433"/>
      <c r="H5" s="431" t="s">
        <v>72</v>
      </c>
      <c r="I5" s="433"/>
      <c r="J5" s="431" t="s">
        <v>72</v>
      </c>
      <c r="K5" s="433"/>
      <c r="L5" s="44" t="s">
        <v>38</v>
      </c>
    </row>
    <row r="6" spans="1:12" ht="24.95" customHeight="1">
      <c r="A6" s="429"/>
      <c r="B6" s="431" t="s">
        <v>86</v>
      </c>
      <c r="C6" s="432"/>
      <c r="D6" s="434"/>
      <c r="E6" s="435"/>
      <c r="F6" s="434"/>
      <c r="G6" s="435"/>
      <c r="H6" s="434"/>
      <c r="I6" s="435"/>
      <c r="J6" s="434"/>
      <c r="K6" s="435"/>
      <c r="L6" s="45">
        <f>SUM(D6:K6)</f>
        <v>0</v>
      </c>
    </row>
    <row r="7" spans="1:12" ht="24.95" customHeight="1">
      <c r="A7" s="429"/>
      <c r="B7" s="431" t="s">
        <v>73</v>
      </c>
      <c r="C7" s="432"/>
      <c r="D7" s="431" t="s">
        <v>74</v>
      </c>
      <c r="E7" s="432"/>
      <c r="F7" s="432"/>
      <c r="G7" s="432"/>
      <c r="H7" s="432"/>
      <c r="I7" s="432"/>
      <c r="J7" s="432"/>
      <c r="K7" s="433"/>
      <c r="L7" s="44" t="s">
        <v>38</v>
      </c>
    </row>
    <row r="8" spans="1:12" ht="24.95" customHeight="1">
      <c r="A8" s="429"/>
      <c r="B8" s="436"/>
      <c r="C8" s="437"/>
      <c r="D8" s="438"/>
      <c r="E8" s="439"/>
      <c r="F8" s="438"/>
      <c r="G8" s="439"/>
      <c r="H8" s="438"/>
      <c r="I8" s="439"/>
      <c r="J8" s="434"/>
      <c r="K8" s="435"/>
      <c r="L8" s="45">
        <f t="shared" ref="L8:L15" si="0">SUM(D8:K8)</f>
        <v>0</v>
      </c>
    </row>
    <row r="9" spans="1:12" ht="24.95" customHeight="1">
      <c r="A9" s="429"/>
      <c r="B9" s="436" t="s">
        <v>39</v>
      </c>
      <c r="C9" s="437"/>
      <c r="D9" s="438"/>
      <c r="E9" s="439"/>
      <c r="F9" s="438"/>
      <c r="G9" s="439"/>
      <c r="H9" s="438"/>
      <c r="I9" s="439"/>
      <c r="J9" s="434"/>
      <c r="K9" s="435"/>
      <c r="L9" s="45">
        <f t="shared" si="0"/>
        <v>0</v>
      </c>
    </row>
    <row r="10" spans="1:12" ht="24.95" customHeight="1">
      <c r="A10" s="429"/>
      <c r="B10" s="436" t="s">
        <v>39</v>
      </c>
      <c r="C10" s="437"/>
      <c r="D10" s="438"/>
      <c r="E10" s="439"/>
      <c r="F10" s="434"/>
      <c r="G10" s="435"/>
      <c r="H10" s="434"/>
      <c r="I10" s="435"/>
      <c r="J10" s="434"/>
      <c r="K10" s="435"/>
      <c r="L10" s="45">
        <f t="shared" si="0"/>
        <v>0</v>
      </c>
    </row>
    <row r="11" spans="1:12" ht="24.95" customHeight="1">
      <c r="A11" s="429"/>
      <c r="B11" s="436" t="s">
        <v>39</v>
      </c>
      <c r="C11" s="437"/>
      <c r="D11" s="438"/>
      <c r="E11" s="439"/>
      <c r="F11" s="434"/>
      <c r="G11" s="435"/>
      <c r="H11" s="434"/>
      <c r="I11" s="435"/>
      <c r="J11" s="434"/>
      <c r="K11" s="435"/>
      <c r="L11" s="45">
        <f t="shared" si="0"/>
        <v>0</v>
      </c>
    </row>
    <row r="12" spans="1:12" ht="24.95" customHeight="1">
      <c r="A12" s="429"/>
      <c r="B12" s="95"/>
      <c r="C12" s="96"/>
      <c r="D12" s="93"/>
      <c r="E12" s="94"/>
      <c r="F12" s="91"/>
      <c r="G12" s="92"/>
      <c r="H12" s="91"/>
      <c r="I12" s="92"/>
      <c r="J12" s="91"/>
      <c r="K12" s="92"/>
      <c r="L12" s="45">
        <f t="shared" si="0"/>
        <v>0</v>
      </c>
    </row>
    <row r="13" spans="1:12" ht="24.95" customHeight="1">
      <c r="A13" s="429"/>
      <c r="B13" s="436" t="s">
        <v>39</v>
      </c>
      <c r="C13" s="437"/>
      <c r="D13" s="438"/>
      <c r="E13" s="439"/>
      <c r="F13" s="434"/>
      <c r="G13" s="435"/>
      <c r="H13" s="434"/>
      <c r="I13" s="435"/>
      <c r="J13" s="434"/>
      <c r="K13" s="435"/>
      <c r="L13" s="45">
        <f t="shared" si="0"/>
        <v>0</v>
      </c>
    </row>
    <row r="14" spans="1:12" ht="24.95" customHeight="1">
      <c r="A14" s="429"/>
      <c r="B14" s="95"/>
      <c r="C14" s="96"/>
      <c r="D14" s="93"/>
      <c r="E14" s="94"/>
      <c r="F14" s="91"/>
      <c r="G14" s="92"/>
      <c r="H14" s="91"/>
      <c r="I14" s="92"/>
      <c r="J14" s="91"/>
      <c r="K14" s="92"/>
      <c r="L14" s="45">
        <f t="shared" si="0"/>
        <v>0</v>
      </c>
    </row>
    <row r="15" spans="1:12" ht="24.95" customHeight="1">
      <c r="A15" s="429"/>
      <c r="B15" s="436" t="s">
        <v>39</v>
      </c>
      <c r="C15" s="437"/>
      <c r="D15" s="438"/>
      <c r="E15" s="439"/>
      <c r="F15" s="434"/>
      <c r="G15" s="435"/>
      <c r="H15" s="434"/>
      <c r="I15" s="435"/>
      <c r="J15" s="434"/>
      <c r="K15" s="435"/>
      <c r="L15" s="45">
        <f t="shared" si="0"/>
        <v>0</v>
      </c>
    </row>
    <row r="16" spans="1:12" ht="24.95" customHeight="1">
      <c r="A16" s="430"/>
      <c r="B16" s="431" t="s">
        <v>85</v>
      </c>
      <c r="C16" s="432"/>
      <c r="D16" s="444">
        <f>SUM(D8:E15)</f>
        <v>0</v>
      </c>
      <c r="E16" s="445"/>
      <c r="F16" s="444">
        <f t="shared" ref="F16" si="1">SUM(F8:G15)</f>
        <v>0</v>
      </c>
      <c r="G16" s="445"/>
      <c r="H16" s="444">
        <f t="shared" ref="H16" si="2">SUM(H8:I15)</f>
        <v>0</v>
      </c>
      <c r="I16" s="445"/>
      <c r="J16" s="444">
        <f t="shared" ref="J16" si="3">SUM(J8:K15)</f>
        <v>0</v>
      </c>
      <c r="K16" s="445"/>
      <c r="L16" s="45">
        <f>SUM(L8:L15)</f>
        <v>0</v>
      </c>
    </row>
    <row r="17" spans="1:12" ht="24.95" customHeight="1">
      <c r="A17" s="428" t="s">
        <v>78</v>
      </c>
      <c r="B17" s="431" t="s">
        <v>73</v>
      </c>
      <c r="C17" s="432"/>
      <c r="D17" s="431" t="s">
        <v>76</v>
      </c>
      <c r="E17" s="432"/>
      <c r="F17" s="432"/>
      <c r="G17" s="433"/>
      <c r="H17" s="450"/>
      <c r="I17" s="451"/>
      <c r="J17" s="451"/>
      <c r="K17" s="451"/>
      <c r="L17" s="452"/>
    </row>
    <row r="18" spans="1:12" ht="24.95" customHeight="1">
      <c r="A18" s="429"/>
      <c r="B18" s="436" t="s">
        <v>39</v>
      </c>
      <c r="C18" s="437"/>
      <c r="D18" s="438"/>
      <c r="E18" s="440"/>
      <c r="F18" s="440"/>
      <c r="G18" s="439"/>
      <c r="H18" s="441" t="s">
        <v>80</v>
      </c>
      <c r="I18" s="442"/>
      <c r="J18" s="442"/>
      <c r="K18" s="443"/>
      <c r="L18" s="45">
        <f>D18*3/12</f>
        <v>0</v>
      </c>
    </row>
    <row r="19" spans="1:12" ht="24.95" customHeight="1">
      <c r="A19" s="429"/>
      <c r="B19" s="436" t="s">
        <v>39</v>
      </c>
      <c r="C19" s="437"/>
      <c r="D19" s="438"/>
      <c r="E19" s="440"/>
      <c r="F19" s="440"/>
      <c r="G19" s="439"/>
      <c r="H19" s="441" t="s">
        <v>80</v>
      </c>
      <c r="I19" s="442"/>
      <c r="J19" s="442"/>
      <c r="K19" s="443"/>
      <c r="L19" s="45">
        <f t="shared" ref="L19:L21" si="4">D19*3/12</f>
        <v>0</v>
      </c>
    </row>
    <row r="20" spans="1:12" ht="24.95" customHeight="1">
      <c r="A20" s="429"/>
      <c r="B20" s="95"/>
      <c r="C20" s="96"/>
      <c r="D20" s="93"/>
      <c r="E20" s="97"/>
      <c r="F20" s="97"/>
      <c r="G20" s="94"/>
      <c r="H20" s="441" t="s">
        <v>80</v>
      </c>
      <c r="I20" s="442"/>
      <c r="J20" s="442"/>
      <c r="K20" s="443"/>
      <c r="L20" s="45">
        <f t="shared" si="4"/>
        <v>0</v>
      </c>
    </row>
    <row r="21" spans="1:12" ht="24.95" customHeight="1">
      <c r="A21" s="429"/>
      <c r="B21" s="436" t="s">
        <v>39</v>
      </c>
      <c r="C21" s="437"/>
      <c r="D21" s="438"/>
      <c r="E21" s="440"/>
      <c r="F21" s="440"/>
      <c r="G21" s="439"/>
      <c r="H21" s="441" t="s">
        <v>80</v>
      </c>
      <c r="I21" s="442"/>
      <c r="J21" s="442"/>
      <c r="K21" s="443"/>
      <c r="L21" s="45">
        <f t="shared" si="4"/>
        <v>0</v>
      </c>
    </row>
    <row r="22" spans="1:12" ht="24.95" customHeight="1">
      <c r="A22" s="430"/>
      <c r="B22" s="447" t="s">
        <v>88</v>
      </c>
      <c r="C22" s="448"/>
      <c r="D22" s="448"/>
      <c r="E22" s="448"/>
      <c r="F22" s="448"/>
      <c r="G22" s="448"/>
      <c r="H22" s="448"/>
      <c r="I22" s="448"/>
      <c r="J22" s="448"/>
      <c r="K22" s="449"/>
      <c r="L22" s="46">
        <f>SUM(L18:L21)</f>
        <v>0</v>
      </c>
    </row>
    <row r="23" spans="1:12" ht="24.95" customHeight="1">
      <c r="A23" s="431" t="s">
        <v>81</v>
      </c>
      <c r="B23" s="432"/>
      <c r="C23" s="432"/>
      <c r="D23" s="433"/>
      <c r="E23" s="431" t="s">
        <v>89</v>
      </c>
      <c r="F23" s="432"/>
      <c r="G23" s="432"/>
      <c r="H23" s="432"/>
      <c r="I23" s="432"/>
      <c r="J23" s="432"/>
      <c r="K23" s="433"/>
      <c r="L23" s="46" t="e">
        <f>(L16+L22)/L6</f>
        <v>#DIV/0!</v>
      </c>
    </row>
    <row r="24" spans="1:12" ht="41.25" customHeight="1">
      <c r="A24" s="446" t="s">
        <v>75</v>
      </c>
      <c r="B24" s="446"/>
      <c r="C24" s="446"/>
      <c r="D24" s="446"/>
      <c r="E24" s="446" t="s">
        <v>87</v>
      </c>
      <c r="F24" s="446"/>
      <c r="G24" s="446"/>
      <c r="H24" s="446"/>
      <c r="I24" s="446"/>
      <c r="J24" s="446"/>
      <c r="K24" s="446"/>
      <c r="L24" s="48" t="e">
        <f>ROUNDDOWN(L23*30*(F3+H3/365),-1)</f>
        <v>#DIV/0!</v>
      </c>
    </row>
    <row r="25" spans="1:12">
      <c r="A25" s="3" t="s">
        <v>63</v>
      </c>
    </row>
  </sheetData>
  <mergeCells count="75">
    <mergeCell ref="A24:D24"/>
    <mergeCell ref="E24:K24"/>
    <mergeCell ref="H20:K20"/>
    <mergeCell ref="B21:C21"/>
    <mergeCell ref="D21:G21"/>
    <mergeCell ref="H21:K21"/>
    <mergeCell ref="B22:K22"/>
    <mergeCell ref="A23:D23"/>
    <mergeCell ref="E23:K23"/>
    <mergeCell ref="A17:A22"/>
    <mergeCell ref="B17:C17"/>
    <mergeCell ref="D17:G17"/>
    <mergeCell ref="H17:L17"/>
    <mergeCell ref="B18:C18"/>
    <mergeCell ref="D18:G18"/>
    <mergeCell ref="H18:K18"/>
    <mergeCell ref="B19:C19"/>
    <mergeCell ref="D19:G19"/>
    <mergeCell ref="H19:K19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1:C11"/>
    <mergeCell ref="D11:E11"/>
    <mergeCell ref="F11:G11"/>
    <mergeCell ref="H11:I11"/>
    <mergeCell ref="J11:K11"/>
    <mergeCell ref="B13:C13"/>
    <mergeCell ref="D13:E13"/>
    <mergeCell ref="F13:G13"/>
    <mergeCell ref="H13:I13"/>
    <mergeCell ref="J13:K13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A4:L4"/>
    <mergeCell ref="A5:A16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K7"/>
    <mergeCell ref="B8:C8"/>
    <mergeCell ref="D8:E8"/>
    <mergeCell ref="A3:E3"/>
    <mergeCell ref="J3:L3"/>
    <mergeCell ref="A1:L1"/>
    <mergeCell ref="A2:D2"/>
    <mergeCell ref="E2:F2"/>
    <mergeCell ref="G2:I2"/>
    <mergeCell ref="J2:L2"/>
  </mergeCells>
  <phoneticPr fontId="35" type="noConversion"/>
  <pageMargins left="0.70866141732283472" right="0.70866141732283472" top="1.1811023622047245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</sheetPr>
  <dimension ref="A1:AA46"/>
  <sheetViews>
    <sheetView zoomScale="85" zoomScaleNormal="85" workbookViewId="0">
      <selection sqref="A1:L1"/>
    </sheetView>
  </sheetViews>
  <sheetFormatPr defaultRowHeight="16.5"/>
  <cols>
    <col min="1" max="1" width="6.25" customWidth="1"/>
    <col min="2" max="2" width="6.375" customWidth="1"/>
    <col min="3" max="3" width="10" customWidth="1"/>
    <col min="4" max="4" width="3.625" customWidth="1"/>
    <col min="5" max="5" width="8.625" customWidth="1"/>
    <col min="6" max="9" width="6.125" customWidth="1"/>
    <col min="10" max="10" width="3.75" customWidth="1"/>
    <col min="11" max="11" width="4.25" customWidth="1"/>
    <col min="12" max="12" width="13.5" customWidth="1"/>
    <col min="14" max="14" width="11.75" customWidth="1"/>
    <col min="15" max="15" width="9.125" customWidth="1"/>
    <col min="16" max="16" width="4.125" customWidth="1"/>
    <col min="17" max="17" width="14.625" customWidth="1"/>
    <col min="18" max="21" width="12.625" customWidth="1"/>
    <col min="22" max="22" width="14.875" customWidth="1"/>
    <col min="23" max="23" width="14" customWidth="1"/>
    <col min="24" max="24" width="14.625" customWidth="1"/>
    <col min="25" max="25" width="11.25" customWidth="1"/>
  </cols>
  <sheetData>
    <row r="1" spans="1:27" ht="38.25" customHeight="1" thickBot="1">
      <c r="A1" s="453" t="s">
        <v>265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</row>
    <row r="2" spans="1:27" ht="30" customHeight="1" thickBot="1">
      <c r="A2" s="454" t="s">
        <v>83</v>
      </c>
      <c r="B2" s="455"/>
      <c r="C2" s="455"/>
      <c r="D2" s="456"/>
      <c r="E2" s="454" t="s">
        <v>93</v>
      </c>
      <c r="F2" s="456"/>
      <c r="G2" s="454" t="s">
        <v>82</v>
      </c>
      <c r="H2" s="455"/>
      <c r="I2" s="456"/>
      <c r="J2" s="454" t="s">
        <v>84</v>
      </c>
      <c r="K2" s="455"/>
      <c r="L2" s="456"/>
      <c r="Q2" s="481" t="s">
        <v>316</v>
      </c>
      <c r="R2" s="481"/>
      <c r="S2" s="481"/>
      <c r="T2" s="481"/>
      <c r="U2" s="481"/>
      <c r="V2" s="481"/>
      <c r="W2" s="481"/>
      <c r="X2" s="481"/>
    </row>
    <row r="3" spans="1:27" ht="29.25" customHeight="1" thickBot="1">
      <c r="A3" s="462" t="s">
        <v>267</v>
      </c>
      <c r="B3" s="463"/>
      <c r="C3" s="464" t="s">
        <v>266</v>
      </c>
      <c r="D3" s="465"/>
      <c r="E3" s="466"/>
      <c r="F3" s="338"/>
      <c r="G3" s="337" t="s">
        <v>92</v>
      </c>
      <c r="H3" s="338"/>
      <c r="I3" s="337" t="s">
        <v>91</v>
      </c>
      <c r="J3" s="454" t="s">
        <v>79</v>
      </c>
      <c r="K3" s="455"/>
      <c r="L3" s="456"/>
      <c r="Q3" s="482"/>
      <c r="R3" s="482"/>
      <c r="S3" s="482"/>
      <c r="T3" s="482"/>
      <c r="U3" s="482"/>
      <c r="V3" s="482"/>
      <c r="W3" s="482"/>
      <c r="X3" s="482"/>
    </row>
    <row r="4" spans="1:27" ht="24.95" customHeight="1">
      <c r="A4" s="467" t="s">
        <v>268</v>
      </c>
      <c r="B4" s="467"/>
      <c r="C4" s="468"/>
      <c r="D4" s="468"/>
      <c r="E4" s="468"/>
      <c r="F4" s="468"/>
      <c r="G4" s="467"/>
      <c r="H4" s="302"/>
      <c r="I4" s="302"/>
      <c r="J4" s="302"/>
      <c r="K4" s="302"/>
      <c r="L4" s="302"/>
      <c r="Q4" s="323" t="s">
        <v>317</v>
      </c>
      <c r="R4" s="323" t="s">
        <v>309</v>
      </c>
      <c r="S4" s="324" t="s">
        <v>310</v>
      </c>
      <c r="T4" s="325" t="s">
        <v>311</v>
      </c>
      <c r="U4" s="326" t="s">
        <v>312</v>
      </c>
      <c r="V4" s="323" t="s">
        <v>313</v>
      </c>
      <c r="W4" s="323" t="s">
        <v>314</v>
      </c>
      <c r="X4" s="323" t="s">
        <v>315</v>
      </c>
    </row>
    <row r="5" spans="1:27" ht="24.95" customHeight="1" thickBot="1">
      <c r="A5" s="457" t="s">
        <v>270</v>
      </c>
      <c r="B5" s="457"/>
      <c r="C5" s="457" t="s">
        <v>271</v>
      </c>
      <c r="D5" s="457"/>
      <c r="E5" s="457"/>
      <c r="F5" s="459" t="s">
        <v>272</v>
      </c>
      <c r="G5" s="459"/>
      <c r="H5" s="299"/>
      <c r="I5" s="299"/>
      <c r="J5" s="299"/>
      <c r="K5" s="299"/>
      <c r="L5" s="300" t="s">
        <v>42</v>
      </c>
      <c r="M5" s="301"/>
      <c r="Q5" s="313"/>
      <c r="R5" s="310"/>
      <c r="S5" s="310"/>
      <c r="T5" s="316" t="str">
        <f>IF(ISNUMBER(R5),S5-R5+1,"")</f>
        <v/>
      </c>
      <c r="U5" s="311"/>
      <c r="V5" s="312"/>
      <c r="W5" s="317">
        <f>V5/365</f>
        <v>0</v>
      </c>
      <c r="X5" s="317">
        <f>IFERROR(T5*W5,0)</f>
        <v>0</v>
      </c>
    </row>
    <row r="6" spans="1:27" ht="24.95" customHeight="1" thickBot="1">
      <c r="A6" s="460" t="s">
        <v>273</v>
      </c>
      <c r="B6" s="460"/>
      <c r="C6" s="460" t="s">
        <v>278</v>
      </c>
      <c r="D6" s="460"/>
      <c r="E6" s="461"/>
      <c r="F6" s="469"/>
      <c r="G6" s="470"/>
      <c r="H6" s="299"/>
      <c r="I6" s="457" t="s">
        <v>269</v>
      </c>
      <c r="J6" s="457"/>
      <c r="K6" s="457"/>
      <c r="L6" s="336">
        <f>ROUNDDOWN((SUM(F6:G16,ROUNDDOWN(F18/12,0),ROUNDDOWN(F19/12,0),ROUNDDOWN(F20/12,0))/209)*8,0)</f>
        <v>0</v>
      </c>
      <c r="M6" s="301"/>
      <c r="Q6" s="314"/>
      <c r="R6" s="310"/>
      <c r="S6" s="310"/>
      <c r="T6" s="316" t="str">
        <f t="shared" ref="T6:T7" si="0">IF(ISNUMBER(R6),S6-R6+1,"")</f>
        <v/>
      </c>
      <c r="U6" s="311"/>
      <c r="V6" s="312"/>
      <c r="W6" s="317">
        <f>V6/365</f>
        <v>0</v>
      </c>
      <c r="X6" s="317">
        <f t="shared" ref="X6:X7" si="1">IFERROR(T6*W6,0)</f>
        <v>0</v>
      </c>
    </row>
    <row r="7" spans="1:27" ht="24.95" customHeight="1" thickBot="1">
      <c r="A7" s="460"/>
      <c r="B7" s="460"/>
      <c r="C7" s="460" t="s">
        <v>279</v>
      </c>
      <c r="D7" s="460"/>
      <c r="E7" s="461"/>
      <c r="F7" s="469"/>
      <c r="G7" s="470"/>
      <c r="H7" s="299"/>
      <c r="I7" s="299"/>
      <c r="J7" s="299"/>
      <c r="K7" s="299"/>
      <c r="L7" s="299"/>
      <c r="M7" s="301"/>
      <c r="Q7" s="313"/>
      <c r="R7" s="310"/>
      <c r="S7" s="310"/>
      <c r="T7" s="316" t="str">
        <f t="shared" si="0"/>
        <v/>
      </c>
      <c r="U7" s="311"/>
      <c r="V7" s="312"/>
      <c r="W7" s="317">
        <f>V7/365</f>
        <v>0</v>
      </c>
      <c r="X7" s="317">
        <f t="shared" si="1"/>
        <v>0</v>
      </c>
    </row>
    <row r="8" spans="1:27" ht="24.95" customHeight="1" thickBot="1">
      <c r="A8" s="460"/>
      <c r="B8" s="460"/>
      <c r="C8" s="460" t="s">
        <v>280</v>
      </c>
      <c r="D8" s="460"/>
      <c r="E8" s="461"/>
      <c r="F8" s="469"/>
      <c r="G8" s="470"/>
      <c r="H8" s="299"/>
      <c r="I8" s="458" t="s">
        <v>322</v>
      </c>
      <c r="J8" s="458"/>
      <c r="K8" s="458"/>
      <c r="L8" s="458"/>
      <c r="M8" s="301"/>
      <c r="N8" s="300" t="s">
        <v>42</v>
      </c>
      <c r="Q8" s="168"/>
      <c r="R8" s="168"/>
      <c r="S8" s="168"/>
      <c r="T8" s="168"/>
      <c r="U8" s="168"/>
      <c r="V8" s="168"/>
      <c r="W8" s="168"/>
      <c r="X8" s="168"/>
    </row>
    <row r="9" spans="1:27" ht="24.95" customHeight="1" thickBot="1">
      <c r="A9" s="460"/>
      <c r="B9" s="460"/>
      <c r="C9" s="460" t="s">
        <v>281</v>
      </c>
      <c r="D9" s="460"/>
      <c r="E9" s="461"/>
      <c r="F9" s="469"/>
      <c r="G9" s="470"/>
      <c r="H9" s="299"/>
      <c r="I9" s="496" t="s">
        <v>291</v>
      </c>
      <c r="J9" s="496"/>
      <c r="K9" s="496"/>
      <c r="L9" s="496"/>
      <c r="M9" s="497" t="s">
        <v>293</v>
      </c>
      <c r="N9" s="498"/>
      <c r="Q9" s="483" t="s">
        <v>318</v>
      </c>
      <c r="R9" s="483"/>
      <c r="S9" s="483"/>
      <c r="T9" s="483"/>
      <c r="U9" s="315">
        <f>MIN(2371260,(X5+X6+X7))</f>
        <v>0</v>
      </c>
      <c r="V9" s="168"/>
      <c r="W9" s="168"/>
      <c r="X9" s="168"/>
    </row>
    <row r="10" spans="1:27" ht="24.95" customHeight="1" thickBot="1">
      <c r="A10" s="460"/>
      <c r="B10" s="460"/>
      <c r="C10" s="460" t="s">
        <v>282</v>
      </c>
      <c r="D10" s="460"/>
      <c r="E10" s="461"/>
      <c r="F10" s="469"/>
      <c r="G10" s="470"/>
      <c r="H10" s="299"/>
      <c r="I10" s="459" t="s">
        <v>289</v>
      </c>
      <c r="J10" s="459"/>
      <c r="K10" s="459"/>
      <c r="L10" s="339" t="s">
        <v>290</v>
      </c>
      <c r="M10" s="498"/>
      <c r="N10" s="498"/>
      <c r="Z10" s="309"/>
      <c r="AA10" s="309"/>
    </row>
    <row r="11" spans="1:27" ht="24.95" customHeight="1" thickBot="1">
      <c r="A11" s="460"/>
      <c r="B11" s="460"/>
      <c r="C11" s="460" t="s">
        <v>283</v>
      </c>
      <c r="D11" s="460"/>
      <c r="E11" s="461"/>
      <c r="F11" s="469"/>
      <c r="G11" s="470"/>
      <c r="H11" s="299"/>
      <c r="I11" s="469"/>
      <c r="J11" s="495"/>
      <c r="K11" s="470"/>
      <c r="L11" s="340"/>
      <c r="M11" s="499">
        <f>ROUNDDOWN(L6*30*(I11+L11/365),-1)</f>
        <v>0</v>
      </c>
      <c r="N11" s="500"/>
      <c r="Q11" s="327" t="s">
        <v>319</v>
      </c>
      <c r="Z11" s="309"/>
      <c r="AA11" s="309"/>
    </row>
    <row r="12" spans="1:27" ht="24.95" customHeight="1" thickBot="1">
      <c r="A12" s="460"/>
      <c r="B12" s="460"/>
      <c r="C12" s="460" t="s">
        <v>284</v>
      </c>
      <c r="D12" s="460"/>
      <c r="E12" s="461"/>
      <c r="F12" s="474"/>
      <c r="G12" s="475"/>
      <c r="H12" s="299"/>
      <c r="I12" s="299"/>
      <c r="J12" s="299"/>
      <c r="K12" s="299"/>
      <c r="L12" s="299"/>
      <c r="M12" s="301"/>
      <c r="Q12" s="487" t="s">
        <v>302</v>
      </c>
      <c r="R12" s="484" t="s">
        <v>303</v>
      </c>
      <c r="S12" s="485"/>
      <c r="T12" s="486"/>
      <c r="U12" s="486" t="s">
        <v>304</v>
      </c>
      <c r="Z12" s="309"/>
      <c r="AA12" s="309"/>
    </row>
    <row r="13" spans="1:27" ht="24.95" customHeight="1" thickTop="1" thickBot="1">
      <c r="A13" s="460"/>
      <c r="B13" s="460"/>
      <c r="C13" s="460" t="s">
        <v>285</v>
      </c>
      <c r="D13" s="460"/>
      <c r="E13" s="461"/>
      <c r="F13" s="469"/>
      <c r="G13" s="470"/>
      <c r="H13" s="299"/>
      <c r="I13" s="501" t="s">
        <v>292</v>
      </c>
      <c r="J13" s="501"/>
      <c r="K13" s="501"/>
      <c r="L13" s="501"/>
      <c r="M13" s="301"/>
      <c r="N13" s="300"/>
      <c r="Q13" s="488"/>
      <c r="R13" s="320" t="s">
        <v>305</v>
      </c>
      <c r="S13" s="321" t="s">
        <v>306</v>
      </c>
      <c r="T13" s="322" t="s">
        <v>307</v>
      </c>
      <c r="U13" s="489"/>
      <c r="Z13" s="309"/>
      <c r="AA13" s="309"/>
    </row>
    <row r="14" spans="1:27" ht="24.95" customHeight="1" thickBot="1">
      <c r="A14" s="460"/>
      <c r="B14" s="460"/>
      <c r="C14" s="460" t="s">
        <v>286</v>
      </c>
      <c r="D14" s="460"/>
      <c r="E14" s="461"/>
      <c r="F14" s="474"/>
      <c r="G14" s="475"/>
      <c r="H14" s="299"/>
      <c r="I14" s="490" t="s">
        <v>294</v>
      </c>
      <c r="J14" s="490"/>
      <c r="K14" s="490"/>
      <c r="L14" s="490"/>
      <c r="M14" s="478" t="s">
        <v>295</v>
      </c>
      <c r="N14" s="478"/>
      <c r="Q14" s="318">
        <v>0.5</v>
      </c>
      <c r="R14" s="330">
        <v>3397230</v>
      </c>
      <c r="S14" s="331">
        <v>2844840</v>
      </c>
      <c r="T14" s="328">
        <v>2430540</v>
      </c>
      <c r="U14" s="334">
        <v>966690</v>
      </c>
      <c r="Z14" s="309"/>
      <c r="AA14" s="309"/>
    </row>
    <row r="15" spans="1:27" ht="24.95" customHeight="1" thickBot="1">
      <c r="A15" s="460"/>
      <c r="B15" s="460"/>
      <c r="C15" s="460" t="s">
        <v>287</v>
      </c>
      <c r="D15" s="460"/>
      <c r="E15" s="461"/>
      <c r="F15" s="469"/>
      <c r="G15" s="470"/>
      <c r="H15" s="299"/>
      <c r="I15" s="479">
        <f>M11</f>
        <v>0</v>
      </c>
      <c r="J15" s="479"/>
      <c r="K15" s="479"/>
      <c r="L15" s="479"/>
      <c r="M15" s="476" t="str">
        <f>LEFT(ROUNDUP(I15, -3), 4)</f>
        <v>0</v>
      </c>
      <c r="N15" s="477"/>
      <c r="Q15" s="319">
        <v>0.6</v>
      </c>
      <c r="R15" s="330">
        <v>3491140</v>
      </c>
      <c r="S15" s="331">
        <v>2828260</v>
      </c>
      <c r="T15" s="328">
        <v>2331110</v>
      </c>
      <c r="U15" s="334">
        <v>1160030</v>
      </c>
      <c r="Z15" s="309"/>
      <c r="AA15" s="309"/>
    </row>
    <row r="16" spans="1:27" ht="24.95" customHeight="1" thickBot="1">
      <c r="A16" s="460"/>
      <c r="B16" s="460"/>
      <c r="C16" s="460" t="s">
        <v>288</v>
      </c>
      <c r="D16" s="460"/>
      <c r="E16" s="461"/>
      <c r="F16" s="469"/>
      <c r="G16" s="470"/>
      <c r="H16" s="299"/>
      <c r="I16" s="299"/>
      <c r="J16" s="299"/>
      <c r="K16" s="299"/>
      <c r="L16" s="299"/>
      <c r="M16" s="301"/>
      <c r="Q16" s="319">
        <v>0.7</v>
      </c>
      <c r="R16" s="330">
        <v>3585050</v>
      </c>
      <c r="S16" s="331">
        <v>2811690</v>
      </c>
      <c r="T16" s="328">
        <v>2231680</v>
      </c>
      <c r="U16" s="334">
        <v>1353370</v>
      </c>
      <c r="Z16" s="309"/>
      <c r="AA16" s="309"/>
    </row>
    <row r="17" spans="1:27" ht="24.95" customHeight="1" thickBot="1">
      <c r="A17" s="491"/>
      <c r="B17" s="491"/>
      <c r="C17" s="491"/>
      <c r="D17" s="491"/>
      <c r="E17" s="491"/>
      <c r="F17" s="492"/>
      <c r="G17" s="492"/>
      <c r="H17" s="299"/>
      <c r="I17" s="299"/>
      <c r="J17" s="299"/>
      <c r="K17" s="299"/>
      <c r="L17" s="299"/>
      <c r="M17" s="301"/>
      <c r="Q17" s="319">
        <v>0.8</v>
      </c>
      <c r="R17" s="330">
        <v>3678950</v>
      </c>
      <c r="S17" s="331">
        <v>2795120</v>
      </c>
      <c r="T17" s="328">
        <v>2132240</v>
      </c>
      <c r="U17" s="334">
        <v>1546710</v>
      </c>
      <c r="Z17" s="309"/>
      <c r="AA17" s="309"/>
    </row>
    <row r="18" spans="1:27" ht="24.95" customHeight="1" thickBot="1">
      <c r="A18" s="471" t="s">
        <v>274</v>
      </c>
      <c r="B18" s="471"/>
      <c r="C18" s="460" t="s">
        <v>275</v>
      </c>
      <c r="D18" s="460"/>
      <c r="E18" s="461"/>
      <c r="F18" s="469"/>
      <c r="G18" s="470"/>
      <c r="H18" s="299"/>
      <c r="I18" s="299"/>
      <c r="J18" s="299"/>
      <c r="K18" s="299"/>
      <c r="L18" s="299"/>
      <c r="M18" s="301"/>
      <c r="Q18" s="319">
        <v>0.9</v>
      </c>
      <c r="R18" s="330">
        <v>3772860</v>
      </c>
      <c r="S18" s="331">
        <v>2778550</v>
      </c>
      <c r="T18" s="328">
        <v>2032810</v>
      </c>
      <c r="U18" s="334">
        <v>1740050</v>
      </c>
    </row>
    <row r="19" spans="1:27" ht="24.95" customHeight="1" thickBot="1">
      <c r="A19" s="471"/>
      <c r="B19" s="471"/>
      <c r="C19" s="460" t="s">
        <v>276</v>
      </c>
      <c r="D19" s="460"/>
      <c r="E19" s="461"/>
      <c r="F19" s="469"/>
      <c r="G19" s="470"/>
      <c r="H19" s="299"/>
      <c r="I19" s="299"/>
      <c r="J19" s="299"/>
      <c r="K19" s="299"/>
      <c r="L19" s="299"/>
      <c r="M19" s="301"/>
      <c r="Q19" s="319">
        <v>1</v>
      </c>
      <c r="R19" s="332">
        <v>3866770</v>
      </c>
      <c r="S19" s="333">
        <v>2761980</v>
      </c>
      <c r="T19" s="329">
        <v>1933380</v>
      </c>
      <c r="U19" s="335">
        <v>1933390</v>
      </c>
    </row>
    <row r="20" spans="1:27" ht="24.95" customHeight="1" thickBot="1">
      <c r="A20" s="471"/>
      <c r="B20" s="471"/>
      <c r="C20" s="460" t="s">
        <v>277</v>
      </c>
      <c r="D20" s="460"/>
      <c r="E20" s="461"/>
      <c r="F20" s="472"/>
      <c r="G20" s="473"/>
      <c r="H20" s="299"/>
      <c r="I20" s="299"/>
      <c r="J20" s="299"/>
      <c r="K20" s="299"/>
      <c r="L20" s="299"/>
      <c r="M20" s="301"/>
      <c r="Q20" s="481" t="s">
        <v>308</v>
      </c>
      <c r="R20" s="481"/>
      <c r="S20" s="481"/>
      <c r="T20" s="481"/>
      <c r="U20" s="481"/>
      <c r="V20" s="481"/>
      <c r="W20" s="481"/>
      <c r="X20" s="481"/>
      <c r="Y20" s="309"/>
    </row>
    <row r="21" spans="1:27" ht="10.5" customHeight="1">
      <c r="A21" s="299"/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301"/>
      <c r="Q21" s="481"/>
      <c r="R21" s="481"/>
      <c r="S21" s="481"/>
      <c r="T21" s="481"/>
      <c r="U21" s="481"/>
      <c r="V21" s="481"/>
      <c r="W21" s="481"/>
      <c r="X21" s="481"/>
      <c r="Y21" s="309"/>
    </row>
    <row r="22" spans="1:27" ht="40.5" customHeight="1">
      <c r="A22" s="493" t="s">
        <v>301</v>
      </c>
      <c r="B22" s="493"/>
      <c r="C22" s="493"/>
      <c r="D22" s="493"/>
      <c r="E22" s="493"/>
      <c r="F22" s="493"/>
      <c r="G22" s="493"/>
      <c r="H22" s="493"/>
      <c r="I22" s="493"/>
      <c r="J22" s="493"/>
      <c r="K22" s="493"/>
      <c r="L22" s="493"/>
      <c r="M22" s="493"/>
      <c r="N22" s="493"/>
      <c r="O22" s="303"/>
      <c r="Q22" s="481"/>
      <c r="R22" s="481"/>
      <c r="S22" s="481"/>
      <c r="T22" s="481"/>
      <c r="U22" s="481"/>
      <c r="V22" s="481"/>
      <c r="W22" s="481"/>
      <c r="X22" s="481"/>
      <c r="Y22" s="309"/>
    </row>
    <row r="23" spans="1:27" ht="19.5" customHeight="1">
      <c r="A23" s="494" t="s">
        <v>321</v>
      </c>
      <c r="B23" s="494"/>
      <c r="C23" s="494"/>
      <c r="D23" s="494"/>
      <c r="E23" s="494"/>
      <c r="F23" s="494"/>
      <c r="G23" s="494"/>
      <c r="H23" s="494"/>
      <c r="I23" s="494"/>
      <c r="J23" s="494"/>
      <c r="K23" s="494"/>
      <c r="L23" s="494"/>
      <c r="M23" s="494"/>
      <c r="N23" s="494"/>
      <c r="Q23" s="481"/>
      <c r="R23" s="481"/>
      <c r="S23" s="481"/>
      <c r="T23" s="481"/>
      <c r="U23" s="481"/>
      <c r="V23" s="481"/>
      <c r="W23" s="481"/>
      <c r="X23" s="481"/>
      <c r="Y23" s="309"/>
    </row>
    <row r="24" spans="1:27" ht="24.95" customHeight="1">
      <c r="A24" s="480" t="s">
        <v>320</v>
      </c>
      <c r="B24" s="480"/>
      <c r="C24" s="480"/>
      <c r="D24" s="480"/>
      <c r="E24" s="480"/>
      <c r="F24" s="480"/>
      <c r="G24" s="480"/>
      <c r="H24" s="480"/>
      <c r="I24" s="480"/>
      <c r="J24" s="480"/>
      <c r="K24" s="480"/>
      <c r="L24" s="480"/>
      <c r="M24" s="480"/>
      <c r="N24" s="480"/>
      <c r="Q24" s="481"/>
      <c r="R24" s="481"/>
      <c r="S24" s="481"/>
      <c r="T24" s="481"/>
      <c r="U24" s="481"/>
      <c r="V24" s="481"/>
      <c r="W24" s="481"/>
      <c r="X24" s="481"/>
      <c r="Y24" s="309"/>
    </row>
    <row r="25" spans="1:27" ht="24.95" customHeight="1">
      <c r="A25" s="299"/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301"/>
      <c r="Q25" s="481"/>
      <c r="R25" s="481"/>
      <c r="S25" s="481"/>
      <c r="T25" s="481"/>
      <c r="U25" s="481"/>
      <c r="V25" s="481"/>
      <c r="W25" s="481"/>
      <c r="X25" s="481"/>
      <c r="Y25" s="309"/>
    </row>
    <row r="26" spans="1:27" ht="24.95" customHeight="1">
      <c r="A26" s="299"/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301"/>
      <c r="Q26" s="481"/>
      <c r="R26" s="481"/>
      <c r="S26" s="481"/>
      <c r="T26" s="481"/>
      <c r="U26" s="481"/>
      <c r="V26" s="481"/>
      <c r="W26" s="481"/>
      <c r="X26" s="481"/>
      <c r="Y26" s="309"/>
    </row>
    <row r="27" spans="1:27" ht="24.95" customHeight="1">
      <c r="A27" s="301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Y27" s="20"/>
    </row>
    <row r="28" spans="1:27" ht="24.95" customHeight="1">
      <c r="A28" s="301"/>
      <c r="B28" s="301"/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</row>
    <row r="29" spans="1:27" ht="24.95" customHeight="1">
      <c r="A29" s="301"/>
      <c r="B29" s="301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</row>
    <row r="30" spans="1:27" ht="24.95" customHeight="1">
      <c r="A30" s="301"/>
      <c r="B30" s="301"/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</row>
    <row r="31" spans="1:27" ht="24.95" customHeight="1">
      <c r="A31" s="301"/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</row>
    <row r="32" spans="1:27" ht="24.95" customHeight="1">
      <c r="A32" s="301"/>
      <c r="B32" s="301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</row>
    <row r="33" ht="24.95" customHeight="1"/>
    <row r="34" ht="24.95" customHeight="1"/>
    <row r="35" ht="24.95" customHeight="1"/>
    <row r="36" ht="24.95" customHeight="1"/>
    <row r="37" ht="24.95" customHeight="1"/>
    <row r="38" ht="24.95" customHeight="1"/>
    <row r="39" ht="24.95" customHeight="1"/>
    <row r="40" ht="24.95" customHeight="1"/>
    <row r="41" ht="24.95" customHeight="1"/>
    <row r="42" ht="24.95" customHeight="1"/>
    <row r="43" ht="24.95" customHeight="1"/>
    <row r="44" ht="24.95" customHeight="1"/>
    <row r="45" ht="24.95" customHeight="1"/>
    <row r="46" ht="41.25" customHeight="1"/>
  </sheetData>
  <mergeCells count="64">
    <mergeCell ref="A24:N24"/>
    <mergeCell ref="Q2:X3"/>
    <mergeCell ref="Q9:T9"/>
    <mergeCell ref="R12:T12"/>
    <mergeCell ref="Q12:Q13"/>
    <mergeCell ref="U12:U13"/>
    <mergeCell ref="Q20:X26"/>
    <mergeCell ref="I14:L14"/>
    <mergeCell ref="A17:G17"/>
    <mergeCell ref="A22:N22"/>
    <mergeCell ref="A23:N23"/>
    <mergeCell ref="I11:K11"/>
    <mergeCell ref="I9:L9"/>
    <mergeCell ref="M9:N10"/>
    <mergeCell ref="M11:N11"/>
    <mergeCell ref="I13:L13"/>
    <mergeCell ref="F11:G11"/>
    <mergeCell ref="F10:G10"/>
    <mergeCell ref="M15:N15"/>
    <mergeCell ref="M14:N14"/>
    <mergeCell ref="I15:L15"/>
    <mergeCell ref="C16:E16"/>
    <mergeCell ref="C15:E15"/>
    <mergeCell ref="F6:G6"/>
    <mergeCell ref="A18:B20"/>
    <mergeCell ref="F20:G20"/>
    <mergeCell ref="F19:G19"/>
    <mergeCell ref="F18:G18"/>
    <mergeCell ref="C20:E20"/>
    <mergeCell ref="C19:E19"/>
    <mergeCell ref="C18:E18"/>
    <mergeCell ref="A6:B16"/>
    <mergeCell ref="F16:G16"/>
    <mergeCell ref="F15:G15"/>
    <mergeCell ref="F14:G14"/>
    <mergeCell ref="F13:G13"/>
    <mergeCell ref="F12:G12"/>
    <mergeCell ref="C13:E13"/>
    <mergeCell ref="C11:E11"/>
    <mergeCell ref="C9:E9"/>
    <mergeCell ref="C7:E7"/>
    <mergeCell ref="C14:E14"/>
    <mergeCell ref="C12:E12"/>
    <mergeCell ref="C10:E10"/>
    <mergeCell ref="C8:E8"/>
    <mergeCell ref="I6:K6"/>
    <mergeCell ref="I8:L8"/>
    <mergeCell ref="I10:K10"/>
    <mergeCell ref="C6:E6"/>
    <mergeCell ref="A3:B3"/>
    <mergeCell ref="C3:E3"/>
    <mergeCell ref="C5:E5"/>
    <mergeCell ref="J3:L3"/>
    <mergeCell ref="A4:G4"/>
    <mergeCell ref="F5:G5"/>
    <mergeCell ref="A5:B5"/>
    <mergeCell ref="F8:G8"/>
    <mergeCell ref="F7:G7"/>
    <mergeCell ref="F9:G9"/>
    <mergeCell ref="A1:L1"/>
    <mergeCell ref="A2:D2"/>
    <mergeCell ref="E2:F2"/>
    <mergeCell ref="G2:I2"/>
    <mergeCell ref="J2:L2"/>
  </mergeCells>
  <phoneticPr fontId="35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sqref="A1:O2"/>
    </sheetView>
  </sheetViews>
  <sheetFormatPr defaultRowHeight="16.5"/>
  <cols>
    <col min="6" max="6" width="15.25" customWidth="1"/>
  </cols>
  <sheetData>
    <row r="1" spans="1:15" ht="20.25" customHeight="1">
      <c r="A1" s="537" t="s">
        <v>201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9"/>
    </row>
    <row r="2" spans="1:15" ht="26.25" customHeight="1">
      <c r="A2" s="540"/>
      <c r="B2" s="541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2"/>
    </row>
    <row r="3" spans="1:15" ht="27">
      <c r="A3" s="527" t="s">
        <v>220</v>
      </c>
      <c r="B3" s="508" t="s">
        <v>202</v>
      </c>
      <c r="C3" s="508" t="s">
        <v>203</v>
      </c>
      <c r="D3" s="508" t="s">
        <v>204</v>
      </c>
      <c r="E3" s="502" t="s">
        <v>205</v>
      </c>
      <c r="F3" s="504"/>
      <c r="G3" s="502" t="s">
        <v>71</v>
      </c>
      <c r="H3" s="503"/>
      <c r="I3" s="504"/>
      <c r="J3" s="502" t="s">
        <v>206</v>
      </c>
      <c r="K3" s="503"/>
      <c r="L3" s="504"/>
      <c r="M3" s="98" t="s">
        <v>207</v>
      </c>
      <c r="N3" s="508" t="s">
        <v>210</v>
      </c>
      <c r="O3" s="510" t="s">
        <v>211</v>
      </c>
    </row>
    <row r="4" spans="1:15">
      <c r="A4" s="527"/>
      <c r="B4" s="508"/>
      <c r="C4" s="508"/>
      <c r="D4" s="508"/>
      <c r="E4" s="505"/>
      <c r="F4" s="507"/>
      <c r="G4" s="505"/>
      <c r="H4" s="506"/>
      <c r="I4" s="507"/>
      <c r="J4" s="505"/>
      <c r="K4" s="506"/>
      <c r="L4" s="507"/>
      <c r="M4" s="98" t="s">
        <v>208</v>
      </c>
      <c r="N4" s="508"/>
      <c r="O4" s="510"/>
    </row>
    <row r="5" spans="1:15" ht="27">
      <c r="A5" s="528"/>
      <c r="B5" s="509"/>
      <c r="C5" s="509"/>
      <c r="D5" s="509"/>
      <c r="E5" s="512" t="s">
        <v>212</v>
      </c>
      <c r="F5" s="513"/>
      <c r="G5" s="100" t="s">
        <v>213</v>
      </c>
      <c r="H5" s="100" t="s">
        <v>214</v>
      </c>
      <c r="I5" s="100" t="s">
        <v>38</v>
      </c>
      <c r="J5" s="100" t="s">
        <v>213</v>
      </c>
      <c r="K5" s="100" t="s">
        <v>214</v>
      </c>
      <c r="L5" s="100" t="s">
        <v>38</v>
      </c>
      <c r="M5" s="99" t="s">
        <v>209</v>
      </c>
      <c r="N5" s="509"/>
      <c r="O5" s="511"/>
    </row>
    <row r="6" spans="1:15">
      <c r="A6" s="514"/>
      <c r="B6" s="517"/>
      <c r="C6" s="520"/>
      <c r="D6" s="517"/>
      <c r="E6" s="523" t="s">
        <v>215</v>
      </c>
      <c r="F6" s="524"/>
      <c r="G6" s="529"/>
      <c r="H6" s="529"/>
      <c r="I6" s="529"/>
      <c r="J6" s="529"/>
      <c r="K6" s="529"/>
      <c r="L6" s="529"/>
      <c r="M6" s="529"/>
      <c r="N6" s="529"/>
      <c r="O6" s="532"/>
    </row>
    <row r="7" spans="1:15" ht="24" customHeight="1">
      <c r="A7" s="515"/>
      <c r="B7" s="518"/>
      <c r="C7" s="521"/>
      <c r="D7" s="518"/>
      <c r="E7" s="525" t="s">
        <v>216</v>
      </c>
      <c r="F7" s="526"/>
      <c r="G7" s="530"/>
      <c r="H7" s="530"/>
      <c r="I7" s="530"/>
      <c r="J7" s="530"/>
      <c r="K7" s="530"/>
      <c r="L7" s="530"/>
      <c r="M7" s="530"/>
      <c r="N7" s="530"/>
      <c r="O7" s="533"/>
    </row>
    <row r="8" spans="1:15">
      <c r="A8" s="516"/>
      <c r="B8" s="519"/>
      <c r="C8" s="522"/>
      <c r="D8" s="519"/>
      <c r="E8" s="101" t="s">
        <v>217</v>
      </c>
      <c r="F8" s="102" t="s">
        <v>218</v>
      </c>
      <c r="G8" s="531"/>
      <c r="H8" s="531"/>
      <c r="I8" s="531"/>
      <c r="J8" s="531"/>
      <c r="K8" s="531"/>
      <c r="L8" s="531"/>
      <c r="M8" s="531"/>
      <c r="N8" s="531"/>
      <c r="O8" s="534"/>
    </row>
    <row r="9" spans="1:15">
      <c r="A9" s="514"/>
      <c r="B9" s="517"/>
      <c r="C9" s="520"/>
      <c r="D9" s="517"/>
      <c r="E9" s="523" t="s">
        <v>215</v>
      </c>
      <c r="F9" s="524"/>
      <c r="G9" s="529"/>
      <c r="H9" s="529"/>
      <c r="I9" s="529"/>
      <c r="J9" s="529"/>
      <c r="K9" s="529"/>
      <c r="L9" s="529"/>
      <c r="M9" s="529"/>
      <c r="N9" s="529"/>
      <c r="O9" s="532"/>
    </row>
    <row r="10" spans="1:15">
      <c r="A10" s="515"/>
      <c r="B10" s="518"/>
      <c r="C10" s="521"/>
      <c r="D10" s="518"/>
      <c r="E10" s="525" t="s">
        <v>216</v>
      </c>
      <c r="F10" s="526"/>
      <c r="G10" s="530"/>
      <c r="H10" s="530"/>
      <c r="I10" s="530"/>
      <c r="J10" s="530"/>
      <c r="K10" s="530"/>
      <c r="L10" s="530"/>
      <c r="M10" s="530"/>
      <c r="N10" s="530"/>
      <c r="O10" s="533"/>
    </row>
    <row r="11" spans="1:15">
      <c r="A11" s="516"/>
      <c r="B11" s="519"/>
      <c r="C11" s="522"/>
      <c r="D11" s="519"/>
      <c r="E11" s="101" t="s">
        <v>217</v>
      </c>
      <c r="F11" s="102" t="s">
        <v>218</v>
      </c>
      <c r="G11" s="531"/>
      <c r="H11" s="531"/>
      <c r="I11" s="531"/>
      <c r="J11" s="531"/>
      <c r="K11" s="531"/>
      <c r="L11" s="531"/>
      <c r="M11" s="531"/>
      <c r="N11" s="531"/>
      <c r="O11" s="534"/>
    </row>
    <row r="12" spans="1:15">
      <c r="A12" s="514"/>
      <c r="B12" s="517"/>
      <c r="C12" s="520"/>
      <c r="D12" s="517"/>
      <c r="E12" s="523" t="s">
        <v>215</v>
      </c>
      <c r="F12" s="524"/>
      <c r="G12" s="529"/>
      <c r="H12" s="529"/>
      <c r="I12" s="529"/>
      <c r="J12" s="529"/>
      <c r="K12" s="529"/>
      <c r="L12" s="529"/>
      <c r="M12" s="529"/>
      <c r="N12" s="529"/>
      <c r="O12" s="532"/>
    </row>
    <row r="13" spans="1:15">
      <c r="A13" s="515"/>
      <c r="B13" s="518"/>
      <c r="C13" s="521"/>
      <c r="D13" s="518"/>
      <c r="E13" s="525" t="s">
        <v>216</v>
      </c>
      <c r="F13" s="526"/>
      <c r="G13" s="530"/>
      <c r="H13" s="530"/>
      <c r="I13" s="530"/>
      <c r="J13" s="530"/>
      <c r="K13" s="530"/>
      <c r="L13" s="530"/>
      <c r="M13" s="530"/>
      <c r="N13" s="530"/>
      <c r="O13" s="533"/>
    </row>
    <row r="14" spans="1:15">
      <c r="A14" s="516"/>
      <c r="B14" s="519"/>
      <c r="C14" s="522"/>
      <c r="D14" s="519"/>
      <c r="E14" s="101" t="s">
        <v>217</v>
      </c>
      <c r="F14" s="102" t="s">
        <v>218</v>
      </c>
      <c r="G14" s="531"/>
      <c r="H14" s="531"/>
      <c r="I14" s="531"/>
      <c r="J14" s="531"/>
      <c r="K14" s="531"/>
      <c r="L14" s="531"/>
      <c r="M14" s="531"/>
      <c r="N14" s="531"/>
      <c r="O14" s="534"/>
    </row>
    <row r="15" spans="1:15">
      <c r="A15" s="514"/>
      <c r="B15" s="517"/>
      <c r="C15" s="520"/>
      <c r="D15" s="517"/>
      <c r="E15" s="523" t="s">
        <v>215</v>
      </c>
      <c r="F15" s="524"/>
      <c r="G15" s="529"/>
      <c r="H15" s="529"/>
      <c r="I15" s="529"/>
      <c r="J15" s="529"/>
      <c r="K15" s="529"/>
      <c r="L15" s="529"/>
      <c r="M15" s="529"/>
      <c r="N15" s="529"/>
      <c r="O15" s="532"/>
    </row>
    <row r="16" spans="1:15">
      <c r="A16" s="515"/>
      <c r="B16" s="518"/>
      <c r="C16" s="521"/>
      <c r="D16" s="518"/>
      <c r="E16" s="525" t="s">
        <v>216</v>
      </c>
      <c r="F16" s="526"/>
      <c r="G16" s="530"/>
      <c r="H16" s="530"/>
      <c r="I16" s="530"/>
      <c r="J16" s="530"/>
      <c r="K16" s="530"/>
      <c r="L16" s="530"/>
      <c r="M16" s="530"/>
      <c r="N16" s="530"/>
      <c r="O16" s="533"/>
    </row>
    <row r="17" spans="1:15">
      <c r="A17" s="516"/>
      <c r="B17" s="519"/>
      <c r="C17" s="522"/>
      <c r="D17" s="519"/>
      <c r="E17" s="101" t="s">
        <v>217</v>
      </c>
      <c r="F17" s="102" t="s">
        <v>218</v>
      </c>
      <c r="G17" s="531"/>
      <c r="H17" s="531"/>
      <c r="I17" s="531"/>
      <c r="J17" s="531"/>
      <c r="K17" s="531"/>
      <c r="L17" s="531"/>
      <c r="M17" s="531"/>
      <c r="N17" s="531"/>
      <c r="O17" s="534"/>
    </row>
    <row r="18" spans="1:15">
      <c r="A18" s="514"/>
      <c r="B18" s="517"/>
      <c r="C18" s="520"/>
      <c r="D18" s="517"/>
      <c r="E18" s="523" t="s">
        <v>215</v>
      </c>
      <c r="F18" s="524"/>
      <c r="G18" s="529"/>
      <c r="H18" s="529"/>
      <c r="I18" s="529"/>
      <c r="J18" s="529"/>
      <c r="K18" s="529"/>
      <c r="L18" s="529"/>
      <c r="M18" s="529"/>
      <c r="N18" s="529"/>
      <c r="O18" s="532"/>
    </row>
    <row r="19" spans="1:15">
      <c r="A19" s="515"/>
      <c r="B19" s="518"/>
      <c r="C19" s="521"/>
      <c r="D19" s="518"/>
      <c r="E19" s="525" t="s">
        <v>216</v>
      </c>
      <c r="F19" s="526"/>
      <c r="G19" s="530"/>
      <c r="H19" s="530"/>
      <c r="I19" s="530"/>
      <c r="J19" s="530"/>
      <c r="K19" s="530"/>
      <c r="L19" s="530"/>
      <c r="M19" s="530"/>
      <c r="N19" s="530"/>
      <c r="O19" s="533"/>
    </row>
    <row r="20" spans="1:15">
      <c r="A20" s="516"/>
      <c r="B20" s="519"/>
      <c r="C20" s="522"/>
      <c r="D20" s="519"/>
      <c r="E20" s="101" t="s">
        <v>217</v>
      </c>
      <c r="F20" s="102" t="s">
        <v>218</v>
      </c>
      <c r="G20" s="531"/>
      <c r="H20" s="531"/>
      <c r="I20" s="531"/>
      <c r="J20" s="531"/>
      <c r="K20" s="531"/>
      <c r="L20" s="531"/>
      <c r="M20" s="531"/>
      <c r="N20" s="531"/>
      <c r="O20" s="534"/>
    </row>
    <row r="21" spans="1:15">
      <c r="A21" s="514"/>
      <c r="B21" s="517"/>
      <c r="C21" s="520"/>
      <c r="D21" s="517"/>
      <c r="E21" s="523" t="s">
        <v>215</v>
      </c>
      <c r="F21" s="524"/>
      <c r="G21" s="529"/>
      <c r="H21" s="529"/>
      <c r="I21" s="529"/>
      <c r="J21" s="529"/>
      <c r="K21" s="529"/>
      <c r="L21" s="529"/>
      <c r="M21" s="529"/>
      <c r="N21" s="529"/>
      <c r="O21" s="532"/>
    </row>
    <row r="22" spans="1:15">
      <c r="A22" s="515"/>
      <c r="B22" s="518"/>
      <c r="C22" s="521"/>
      <c r="D22" s="518"/>
      <c r="E22" s="525" t="s">
        <v>216</v>
      </c>
      <c r="F22" s="526"/>
      <c r="G22" s="530"/>
      <c r="H22" s="530"/>
      <c r="I22" s="530"/>
      <c r="J22" s="530"/>
      <c r="K22" s="530"/>
      <c r="L22" s="530"/>
      <c r="M22" s="530"/>
      <c r="N22" s="530"/>
      <c r="O22" s="533"/>
    </row>
    <row r="23" spans="1:15">
      <c r="A23" s="516"/>
      <c r="B23" s="519"/>
      <c r="C23" s="522"/>
      <c r="D23" s="519"/>
      <c r="E23" s="101" t="s">
        <v>217</v>
      </c>
      <c r="F23" s="102" t="s">
        <v>218</v>
      </c>
      <c r="G23" s="531"/>
      <c r="H23" s="531"/>
      <c r="I23" s="531"/>
      <c r="J23" s="531"/>
      <c r="K23" s="531"/>
      <c r="L23" s="531"/>
      <c r="M23" s="531"/>
      <c r="N23" s="531"/>
      <c r="O23" s="534"/>
    </row>
    <row r="24" spans="1:15">
      <c r="A24" s="514"/>
      <c r="B24" s="517"/>
      <c r="C24" s="520"/>
      <c r="D24" s="517"/>
      <c r="E24" s="523" t="s">
        <v>215</v>
      </c>
      <c r="F24" s="524"/>
      <c r="G24" s="529"/>
      <c r="H24" s="529"/>
      <c r="I24" s="529"/>
      <c r="J24" s="529"/>
      <c r="K24" s="529"/>
      <c r="L24" s="529"/>
      <c r="M24" s="529"/>
      <c r="N24" s="529"/>
      <c r="O24" s="532"/>
    </row>
    <row r="25" spans="1:15">
      <c r="A25" s="515"/>
      <c r="B25" s="518"/>
      <c r="C25" s="521"/>
      <c r="D25" s="518"/>
      <c r="E25" s="525" t="s">
        <v>216</v>
      </c>
      <c r="F25" s="526"/>
      <c r="G25" s="530"/>
      <c r="H25" s="530"/>
      <c r="I25" s="530"/>
      <c r="J25" s="530"/>
      <c r="K25" s="530"/>
      <c r="L25" s="530"/>
      <c r="M25" s="530"/>
      <c r="N25" s="530"/>
      <c r="O25" s="533"/>
    </row>
    <row r="26" spans="1:15">
      <c r="A26" s="516"/>
      <c r="B26" s="519"/>
      <c r="C26" s="522"/>
      <c r="D26" s="519"/>
      <c r="E26" s="101" t="s">
        <v>217</v>
      </c>
      <c r="F26" s="102" t="s">
        <v>218</v>
      </c>
      <c r="G26" s="531"/>
      <c r="H26" s="531"/>
      <c r="I26" s="531"/>
      <c r="J26" s="531"/>
      <c r="K26" s="531"/>
      <c r="L26" s="531"/>
      <c r="M26" s="531"/>
      <c r="N26" s="531"/>
      <c r="O26" s="534"/>
    </row>
    <row r="27" spans="1:15">
      <c r="A27" s="514"/>
      <c r="B27" s="517"/>
      <c r="C27" s="520"/>
      <c r="D27" s="517"/>
      <c r="E27" s="523" t="s">
        <v>215</v>
      </c>
      <c r="F27" s="524"/>
      <c r="G27" s="529"/>
      <c r="H27" s="529"/>
      <c r="I27" s="529"/>
      <c r="J27" s="529"/>
      <c r="K27" s="529"/>
      <c r="L27" s="529"/>
      <c r="M27" s="529"/>
      <c r="N27" s="529"/>
      <c r="O27" s="532"/>
    </row>
    <row r="28" spans="1:15">
      <c r="A28" s="515"/>
      <c r="B28" s="518"/>
      <c r="C28" s="521"/>
      <c r="D28" s="518"/>
      <c r="E28" s="525" t="s">
        <v>216</v>
      </c>
      <c r="F28" s="526"/>
      <c r="G28" s="530"/>
      <c r="H28" s="530"/>
      <c r="I28" s="530"/>
      <c r="J28" s="530"/>
      <c r="K28" s="530"/>
      <c r="L28" s="530"/>
      <c r="M28" s="530"/>
      <c r="N28" s="530"/>
      <c r="O28" s="533"/>
    </row>
    <row r="29" spans="1:15">
      <c r="A29" s="516"/>
      <c r="B29" s="519"/>
      <c r="C29" s="522"/>
      <c r="D29" s="519"/>
      <c r="E29" s="101" t="s">
        <v>217</v>
      </c>
      <c r="F29" s="102" t="s">
        <v>218</v>
      </c>
      <c r="G29" s="531"/>
      <c r="H29" s="531"/>
      <c r="I29" s="531"/>
      <c r="J29" s="531"/>
      <c r="K29" s="531"/>
      <c r="L29" s="531"/>
      <c r="M29" s="531"/>
      <c r="N29" s="531"/>
      <c r="O29" s="534"/>
    </row>
    <row r="30" spans="1:15">
      <c r="A30" s="514"/>
      <c r="B30" s="517"/>
      <c r="C30" s="520"/>
      <c r="D30" s="517"/>
      <c r="E30" s="523" t="s">
        <v>215</v>
      </c>
      <c r="F30" s="524"/>
      <c r="G30" s="529"/>
      <c r="H30" s="529"/>
      <c r="I30" s="529"/>
      <c r="J30" s="529"/>
      <c r="K30" s="529"/>
      <c r="L30" s="529"/>
      <c r="M30" s="529"/>
      <c r="N30" s="529"/>
      <c r="O30" s="532"/>
    </row>
    <row r="31" spans="1:15">
      <c r="A31" s="515"/>
      <c r="B31" s="518"/>
      <c r="C31" s="521"/>
      <c r="D31" s="518"/>
      <c r="E31" s="525" t="s">
        <v>216</v>
      </c>
      <c r="F31" s="526"/>
      <c r="G31" s="530"/>
      <c r="H31" s="530"/>
      <c r="I31" s="530"/>
      <c r="J31" s="530"/>
      <c r="K31" s="530"/>
      <c r="L31" s="530"/>
      <c r="M31" s="530"/>
      <c r="N31" s="530"/>
      <c r="O31" s="533"/>
    </row>
    <row r="32" spans="1:15" ht="17.25" thickBot="1">
      <c r="A32" s="543"/>
      <c r="B32" s="544"/>
      <c r="C32" s="545"/>
      <c r="D32" s="544"/>
      <c r="E32" s="103" t="s">
        <v>217</v>
      </c>
      <c r="F32" s="104" t="s">
        <v>218</v>
      </c>
      <c r="G32" s="535"/>
      <c r="H32" s="535"/>
      <c r="I32" s="535"/>
      <c r="J32" s="535"/>
      <c r="K32" s="535"/>
      <c r="L32" s="535"/>
      <c r="M32" s="535"/>
      <c r="N32" s="535"/>
      <c r="O32" s="536"/>
    </row>
    <row r="34" spans="1:1">
      <c r="A34" t="s">
        <v>226</v>
      </c>
    </row>
    <row r="35" spans="1:1">
      <c r="A35" t="s">
        <v>225</v>
      </c>
    </row>
    <row r="36" spans="1:1">
      <c r="A36" t="s">
        <v>219</v>
      </c>
    </row>
    <row r="37" spans="1:1">
      <c r="A37" t="s">
        <v>227</v>
      </c>
    </row>
    <row r="38" spans="1:1">
      <c r="A38" t="s">
        <v>228</v>
      </c>
    </row>
  </sheetData>
  <mergeCells count="146">
    <mergeCell ref="M30:M32"/>
    <mergeCell ref="N30:N32"/>
    <mergeCell ref="O30:O32"/>
    <mergeCell ref="E31:F31"/>
    <mergeCell ref="A1:O2"/>
    <mergeCell ref="G30:G32"/>
    <mergeCell ref="H30:H32"/>
    <mergeCell ref="I30:I32"/>
    <mergeCell ref="J30:J32"/>
    <mergeCell ref="K30:K32"/>
    <mergeCell ref="L30:L32"/>
    <mergeCell ref="E28:F28"/>
    <mergeCell ref="A30:A32"/>
    <mergeCell ref="B30:B32"/>
    <mergeCell ref="C30:C32"/>
    <mergeCell ref="D30:D32"/>
    <mergeCell ref="E30:F30"/>
    <mergeCell ref="J27:J29"/>
    <mergeCell ref="K27:K29"/>
    <mergeCell ref="L27:L29"/>
    <mergeCell ref="M27:M29"/>
    <mergeCell ref="N27:N29"/>
    <mergeCell ref="O27:O29"/>
    <mergeCell ref="O24:O26"/>
    <mergeCell ref="A27:A29"/>
    <mergeCell ref="B27:B29"/>
    <mergeCell ref="C27:C29"/>
    <mergeCell ref="D27:D29"/>
    <mergeCell ref="E27:F27"/>
    <mergeCell ref="G27:G29"/>
    <mergeCell ref="H27:H29"/>
    <mergeCell ref="I27:I29"/>
    <mergeCell ref="I24:I26"/>
    <mergeCell ref="J24:J26"/>
    <mergeCell ref="K24:K26"/>
    <mergeCell ref="L24:L26"/>
    <mergeCell ref="M24:M26"/>
    <mergeCell ref="N24:N26"/>
    <mergeCell ref="N21:N23"/>
    <mergeCell ref="O21:O23"/>
    <mergeCell ref="E22:F22"/>
    <mergeCell ref="A24:A26"/>
    <mergeCell ref="B24:B26"/>
    <mergeCell ref="C24:C26"/>
    <mergeCell ref="D24:D26"/>
    <mergeCell ref="E24:F24"/>
    <mergeCell ref="G24:G26"/>
    <mergeCell ref="H24:H26"/>
    <mergeCell ref="H21:H23"/>
    <mergeCell ref="I21:I23"/>
    <mergeCell ref="J21:J23"/>
    <mergeCell ref="K21:K23"/>
    <mergeCell ref="L21:L23"/>
    <mergeCell ref="M21:M23"/>
    <mergeCell ref="E25:F25"/>
    <mergeCell ref="A21:A23"/>
    <mergeCell ref="B21:B23"/>
    <mergeCell ref="C21:C23"/>
    <mergeCell ref="D21:D23"/>
    <mergeCell ref="E21:F21"/>
    <mergeCell ref="G21:G23"/>
    <mergeCell ref="G18:G20"/>
    <mergeCell ref="H18:H20"/>
    <mergeCell ref="I18:I20"/>
    <mergeCell ref="A18:A20"/>
    <mergeCell ref="B18:B20"/>
    <mergeCell ref="C18:C20"/>
    <mergeCell ref="D18:D20"/>
    <mergeCell ref="E18:F18"/>
    <mergeCell ref="O15:O17"/>
    <mergeCell ref="O12:O14"/>
    <mergeCell ref="E13:F13"/>
    <mergeCell ref="J12:J14"/>
    <mergeCell ref="K12:K14"/>
    <mergeCell ref="L12:L14"/>
    <mergeCell ref="M12:M14"/>
    <mergeCell ref="N12:N14"/>
    <mergeCell ref="N18:N20"/>
    <mergeCell ref="O18:O20"/>
    <mergeCell ref="E19:F19"/>
    <mergeCell ref="J18:J20"/>
    <mergeCell ref="K18:K20"/>
    <mergeCell ref="L18:L20"/>
    <mergeCell ref="J15:J17"/>
    <mergeCell ref="K15:K17"/>
    <mergeCell ref="L15:L17"/>
    <mergeCell ref="I6:I8"/>
    <mergeCell ref="M18:M20"/>
    <mergeCell ref="M15:M17"/>
    <mergeCell ref="N15:N17"/>
    <mergeCell ref="A15:A17"/>
    <mergeCell ref="B15:B17"/>
    <mergeCell ref="C15:C17"/>
    <mergeCell ref="D15:D17"/>
    <mergeCell ref="E15:F15"/>
    <mergeCell ref="G15:G17"/>
    <mergeCell ref="H15:H17"/>
    <mergeCell ref="I15:I17"/>
    <mergeCell ref="I12:I14"/>
    <mergeCell ref="E16:F16"/>
    <mergeCell ref="N9:N11"/>
    <mergeCell ref="O9:O11"/>
    <mergeCell ref="E10:F10"/>
    <mergeCell ref="A12:A14"/>
    <mergeCell ref="B12:B14"/>
    <mergeCell ref="C12:C14"/>
    <mergeCell ref="D12:D14"/>
    <mergeCell ref="E12:F12"/>
    <mergeCell ref="G12:G14"/>
    <mergeCell ref="H12:H14"/>
    <mergeCell ref="H9:H11"/>
    <mergeCell ref="I9:I11"/>
    <mergeCell ref="J9:J11"/>
    <mergeCell ref="K9:K11"/>
    <mergeCell ref="L9:L11"/>
    <mergeCell ref="M9:M11"/>
    <mergeCell ref="A9:A11"/>
    <mergeCell ref="B9:B11"/>
    <mergeCell ref="C9:C11"/>
    <mergeCell ref="D9:D11"/>
    <mergeCell ref="E9:F9"/>
    <mergeCell ref="G9:G11"/>
    <mergeCell ref="J3:L4"/>
    <mergeCell ref="N3:N5"/>
    <mergeCell ref="O3:O5"/>
    <mergeCell ref="E5:F5"/>
    <mergeCell ref="A6:A8"/>
    <mergeCell ref="B6:B8"/>
    <mergeCell ref="C6:C8"/>
    <mergeCell ref="D6:D8"/>
    <mergeCell ref="E6:F6"/>
    <mergeCell ref="E7:F7"/>
    <mergeCell ref="A3:A5"/>
    <mergeCell ref="B3:B5"/>
    <mergeCell ref="C3:C5"/>
    <mergeCell ref="D3:D5"/>
    <mergeCell ref="E3:F4"/>
    <mergeCell ref="G3:I4"/>
    <mergeCell ref="M6:M8"/>
    <mergeCell ref="N6:N8"/>
    <mergeCell ref="O6:O8"/>
    <mergeCell ref="J6:J8"/>
    <mergeCell ref="K6:K8"/>
    <mergeCell ref="L6:L8"/>
    <mergeCell ref="G6:G8"/>
    <mergeCell ref="H6:H8"/>
  </mergeCells>
  <phoneticPr fontId="35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7"/>
  <sheetViews>
    <sheetView showGridLines="0" zoomScale="85" zoomScaleNormal="85" zoomScaleSheetLayoutView="85" workbookViewId="0">
      <selection sqref="A1:M1"/>
    </sheetView>
  </sheetViews>
  <sheetFormatPr defaultRowHeight="16.5"/>
  <cols>
    <col min="1" max="1" width="6" customWidth="1"/>
    <col min="2" max="2" width="8.625" customWidth="1"/>
    <col min="3" max="3" width="10" customWidth="1"/>
    <col min="4" max="5" width="9.125" customWidth="1"/>
    <col min="6" max="6" width="11.375" customWidth="1"/>
    <col min="7" max="7" width="16.375" customWidth="1"/>
    <col min="8" max="8" width="11.375" customWidth="1"/>
    <col min="9" max="9" width="16.375" customWidth="1"/>
    <col min="10" max="10" width="11.375" customWidth="1"/>
    <col min="11" max="11" width="16.375" customWidth="1"/>
    <col min="12" max="12" width="11.25" customWidth="1"/>
    <col min="13" max="13" width="16.375" customWidth="1"/>
    <col min="14" max="14" width="9.375" bestFit="1" customWidth="1"/>
  </cols>
  <sheetData>
    <row r="1" spans="1:14" ht="29.25" customHeight="1">
      <c r="A1" s="361" t="s">
        <v>94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</row>
    <row r="2" spans="1:14" ht="9.7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4">
      <c r="A3" s="380"/>
      <c r="B3" s="380"/>
      <c r="C3" s="380"/>
      <c r="D3" s="380"/>
      <c r="E3" s="380"/>
      <c r="F3" s="16"/>
      <c r="G3" s="16"/>
      <c r="H3" s="16"/>
      <c r="I3" s="16"/>
      <c r="J3" s="17"/>
      <c r="K3" s="18"/>
      <c r="L3" s="376" t="s">
        <v>32</v>
      </c>
      <c r="M3" s="376"/>
    </row>
    <row r="4" spans="1:14" ht="24.75" customHeight="1">
      <c r="A4" s="414" t="s">
        <v>0</v>
      </c>
      <c r="B4" s="414" t="s">
        <v>1</v>
      </c>
      <c r="C4" s="405" t="s">
        <v>194</v>
      </c>
      <c r="D4" s="405" t="s">
        <v>195</v>
      </c>
      <c r="E4" s="405" t="s">
        <v>193</v>
      </c>
      <c r="F4" s="546" t="s">
        <v>173</v>
      </c>
      <c r="G4" s="547"/>
      <c r="H4" s="547"/>
      <c r="I4" s="547"/>
      <c r="J4" s="547"/>
      <c r="K4" s="547"/>
      <c r="L4" s="547"/>
      <c r="M4" s="548"/>
    </row>
    <row r="5" spans="1:14" ht="24.75" customHeight="1">
      <c r="A5" s="414"/>
      <c r="B5" s="414"/>
      <c r="C5" s="406"/>
      <c r="D5" s="406"/>
      <c r="E5" s="406"/>
      <c r="F5" s="551" t="s">
        <v>233</v>
      </c>
      <c r="G5" s="551"/>
      <c r="H5" s="551" t="s">
        <v>31</v>
      </c>
      <c r="I5" s="551"/>
      <c r="J5" s="551" t="s">
        <v>4</v>
      </c>
      <c r="K5" s="551"/>
      <c r="L5" s="549" t="s">
        <v>65</v>
      </c>
      <c r="M5" s="550"/>
    </row>
    <row r="6" spans="1:14" ht="20.25" customHeight="1">
      <c r="A6" s="414"/>
      <c r="B6" s="414"/>
      <c r="C6" s="407"/>
      <c r="D6" s="407"/>
      <c r="E6" s="407"/>
      <c r="F6" s="163" t="s">
        <v>296</v>
      </c>
      <c r="G6" s="163" t="s">
        <v>9</v>
      </c>
      <c r="H6" s="163" t="s">
        <v>296</v>
      </c>
      <c r="I6" s="163" t="s">
        <v>9</v>
      </c>
      <c r="J6" s="163" t="s">
        <v>296</v>
      </c>
      <c r="K6" s="163" t="s">
        <v>9</v>
      </c>
      <c r="L6" s="164" t="s">
        <v>296</v>
      </c>
      <c r="M6" s="52" t="s">
        <v>29</v>
      </c>
    </row>
    <row r="7" spans="1:14" ht="20.25" customHeight="1">
      <c r="A7" s="21">
        <v>1</v>
      </c>
      <c r="B7" s="21" t="s">
        <v>10</v>
      </c>
      <c r="C7" s="21"/>
      <c r="D7" s="21"/>
      <c r="E7" s="21"/>
      <c r="F7" s="304"/>
      <c r="G7" s="305"/>
      <c r="H7" s="304"/>
      <c r="I7" s="305"/>
      <c r="J7" s="306"/>
      <c r="K7" s="305"/>
      <c r="L7" s="148">
        <f>F7+H7+J7</f>
        <v>0</v>
      </c>
      <c r="M7" s="308">
        <f>G7+I7+K7</f>
        <v>0</v>
      </c>
    </row>
    <row r="8" spans="1:14" ht="20.25" customHeight="1">
      <c r="A8" s="21">
        <v>2</v>
      </c>
      <c r="B8" s="21" t="s">
        <v>11</v>
      </c>
      <c r="C8" s="21"/>
      <c r="D8" s="21"/>
      <c r="E8" s="21"/>
      <c r="F8" s="304"/>
      <c r="G8" s="305"/>
      <c r="H8" s="304"/>
      <c r="I8" s="305"/>
      <c r="J8" s="306"/>
      <c r="K8" s="305"/>
      <c r="L8" s="148">
        <f t="shared" ref="L8:M24" si="0">F8+H8+J8</f>
        <v>0</v>
      </c>
      <c r="M8" s="308">
        <f t="shared" si="0"/>
        <v>0</v>
      </c>
    </row>
    <row r="9" spans="1:14" ht="20.25" customHeight="1">
      <c r="A9" s="21">
        <v>3</v>
      </c>
      <c r="B9" s="28" t="s">
        <v>12</v>
      </c>
      <c r="C9" s="28"/>
      <c r="D9" s="28"/>
      <c r="E9" s="21"/>
      <c r="F9" s="304"/>
      <c r="G9" s="305"/>
      <c r="H9" s="304"/>
      <c r="I9" s="305"/>
      <c r="J9" s="306"/>
      <c r="K9" s="305"/>
      <c r="L9" s="148">
        <f t="shared" si="0"/>
        <v>0</v>
      </c>
      <c r="M9" s="308">
        <f t="shared" si="0"/>
        <v>0</v>
      </c>
    </row>
    <row r="10" spans="1:14" ht="20.25" customHeight="1">
      <c r="A10" s="21">
        <v>4</v>
      </c>
      <c r="B10" s="21" t="s">
        <v>13</v>
      </c>
      <c r="C10" s="21"/>
      <c r="D10" s="21"/>
      <c r="E10" s="21"/>
      <c r="F10" s="304"/>
      <c r="G10" s="305"/>
      <c r="H10" s="304"/>
      <c r="I10" s="305"/>
      <c r="J10" s="306"/>
      <c r="K10" s="305"/>
      <c r="L10" s="148">
        <f t="shared" si="0"/>
        <v>0</v>
      </c>
      <c r="M10" s="308">
        <f t="shared" si="0"/>
        <v>0</v>
      </c>
    </row>
    <row r="11" spans="1:14" s="3" customFormat="1" ht="20.25" customHeight="1">
      <c r="A11" s="21">
        <v>5</v>
      </c>
      <c r="B11" s="22" t="s">
        <v>14</v>
      </c>
      <c r="C11" s="22"/>
      <c r="D11" s="22"/>
      <c r="E11" s="21"/>
      <c r="F11" s="304"/>
      <c r="G11" s="305"/>
      <c r="H11" s="304"/>
      <c r="I11" s="305"/>
      <c r="J11" s="306"/>
      <c r="K11" s="305"/>
      <c r="L11" s="148">
        <f t="shared" si="0"/>
        <v>0</v>
      </c>
      <c r="M11" s="308">
        <f t="shared" si="0"/>
        <v>0</v>
      </c>
      <c r="N11" s="2"/>
    </row>
    <row r="12" spans="1:14" ht="20.25" customHeight="1">
      <c r="A12" s="21">
        <v>6</v>
      </c>
      <c r="B12" s="21" t="s">
        <v>15</v>
      </c>
      <c r="C12" s="21"/>
      <c r="D12" s="21"/>
      <c r="E12" s="21"/>
      <c r="F12" s="304"/>
      <c r="G12" s="305"/>
      <c r="H12" s="304"/>
      <c r="I12" s="305"/>
      <c r="J12" s="306"/>
      <c r="K12" s="305"/>
      <c r="L12" s="148">
        <f t="shared" si="0"/>
        <v>0</v>
      </c>
      <c r="M12" s="308">
        <f t="shared" si="0"/>
        <v>0</v>
      </c>
    </row>
    <row r="13" spans="1:14" ht="20.25" customHeight="1">
      <c r="A13" s="21">
        <v>7</v>
      </c>
      <c r="B13" s="22" t="s">
        <v>16</v>
      </c>
      <c r="C13" s="22"/>
      <c r="D13" s="22"/>
      <c r="E13" s="21"/>
      <c r="F13" s="304"/>
      <c r="G13" s="305"/>
      <c r="H13" s="304"/>
      <c r="I13" s="305"/>
      <c r="J13" s="306"/>
      <c r="K13" s="305"/>
      <c r="L13" s="148">
        <f t="shared" si="0"/>
        <v>0</v>
      </c>
      <c r="M13" s="308">
        <f t="shared" si="0"/>
        <v>0</v>
      </c>
    </row>
    <row r="14" spans="1:14" ht="20.25" customHeight="1">
      <c r="A14" s="21">
        <v>8</v>
      </c>
      <c r="B14" s="23" t="s">
        <v>17</v>
      </c>
      <c r="C14" s="23"/>
      <c r="D14" s="23"/>
      <c r="E14" s="21"/>
      <c r="F14" s="304"/>
      <c r="G14" s="305"/>
      <c r="H14" s="304"/>
      <c r="I14" s="305"/>
      <c r="J14" s="306"/>
      <c r="K14" s="305"/>
      <c r="L14" s="148">
        <f t="shared" si="0"/>
        <v>0</v>
      </c>
      <c r="M14" s="308">
        <f t="shared" si="0"/>
        <v>0</v>
      </c>
    </row>
    <row r="15" spans="1:14" ht="20.25" customHeight="1">
      <c r="A15" s="21">
        <v>9</v>
      </c>
      <c r="B15" s="21" t="s">
        <v>18</v>
      </c>
      <c r="C15" s="21"/>
      <c r="D15" s="21"/>
      <c r="E15" s="21"/>
      <c r="F15" s="304"/>
      <c r="G15" s="305"/>
      <c r="H15" s="304"/>
      <c r="I15" s="305"/>
      <c r="J15" s="306"/>
      <c r="K15" s="305"/>
      <c r="L15" s="148">
        <f t="shared" si="0"/>
        <v>0</v>
      </c>
      <c r="M15" s="308">
        <f t="shared" si="0"/>
        <v>0</v>
      </c>
    </row>
    <row r="16" spans="1:14" ht="20.25" customHeight="1">
      <c r="A16" s="21">
        <v>10</v>
      </c>
      <c r="B16" s="21" t="s">
        <v>19</v>
      </c>
      <c r="C16" s="21"/>
      <c r="D16" s="21"/>
      <c r="E16" s="21"/>
      <c r="F16" s="304"/>
      <c r="G16" s="305"/>
      <c r="H16" s="304"/>
      <c r="I16" s="305"/>
      <c r="J16" s="306"/>
      <c r="K16" s="305"/>
      <c r="L16" s="148">
        <f t="shared" si="0"/>
        <v>0</v>
      </c>
      <c r="M16" s="308">
        <f t="shared" si="0"/>
        <v>0</v>
      </c>
    </row>
    <row r="17" spans="1:13" ht="20.25" customHeight="1">
      <c r="A17" s="21">
        <v>11</v>
      </c>
      <c r="B17" s="21" t="s">
        <v>20</v>
      </c>
      <c r="C17" s="21"/>
      <c r="D17" s="21"/>
      <c r="E17" s="21"/>
      <c r="F17" s="304"/>
      <c r="G17" s="305"/>
      <c r="H17" s="304"/>
      <c r="I17" s="305"/>
      <c r="J17" s="306"/>
      <c r="K17" s="305"/>
      <c r="L17" s="148">
        <f t="shared" si="0"/>
        <v>0</v>
      </c>
      <c r="M17" s="308">
        <f t="shared" si="0"/>
        <v>0</v>
      </c>
    </row>
    <row r="18" spans="1:13" ht="20.25" customHeight="1">
      <c r="A18" s="21">
        <v>12</v>
      </c>
      <c r="B18" s="21" t="s">
        <v>21</v>
      </c>
      <c r="C18" s="21"/>
      <c r="D18" s="21"/>
      <c r="E18" s="21"/>
      <c r="F18" s="304"/>
      <c r="G18" s="305"/>
      <c r="H18" s="304"/>
      <c r="I18" s="305"/>
      <c r="J18" s="306"/>
      <c r="K18" s="305"/>
      <c r="L18" s="148">
        <f t="shared" si="0"/>
        <v>0</v>
      </c>
      <c r="M18" s="308">
        <f t="shared" si="0"/>
        <v>0</v>
      </c>
    </row>
    <row r="19" spans="1:13" ht="20.25" customHeight="1">
      <c r="A19" s="21">
        <v>13</v>
      </c>
      <c r="B19" s="21" t="s">
        <v>30</v>
      </c>
      <c r="C19" s="21"/>
      <c r="D19" s="21"/>
      <c r="E19" s="21"/>
      <c r="F19" s="304"/>
      <c r="G19" s="305"/>
      <c r="H19" s="304"/>
      <c r="I19" s="305"/>
      <c r="J19" s="306"/>
      <c r="K19" s="305"/>
      <c r="L19" s="148">
        <f t="shared" si="0"/>
        <v>0</v>
      </c>
      <c r="M19" s="308">
        <f t="shared" si="0"/>
        <v>0</v>
      </c>
    </row>
    <row r="20" spans="1:13" ht="20.25" customHeight="1">
      <c r="A20" s="21">
        <v>14</v>
      </c>
      <c r="B20" s="21" t="s">
        <v>22</v>
      </c>
      <c r="C20" s="21"/>
      <c r="D20" s="21"/>
      <c r="E20" s="21"/>
      <c r="F20" s="304"/>
      <c r="G20" s="305"/>
      <c r="H20" s="304"/>
      <c r="I20" s="305"/>
      <c r="J20" s="306"/>
      <c r="K20" s="305"/>
      <c r="L20" s="148">
        <f t="shared" si="0"/>
        <v>0</v>
      </c>
      <c r="M20" s="308">
        <f t="shared" si="0"/>
        <v>0</v>
      </c>
    </row>
    <row r="21" spans="1:13" ht="20.25" customHeight="1">
      <c r="A21" s="21">
        <v>15</v>
      </c>
      <c r="B21" s="21" t="s">
        <v>23</v>
      </c>
      <c r="C21" s="21"/>
      <c r="D21" s="21"/>
      <c r="E21" s="21"/>
      <c r="F21" s="304"/>
      <c r="G21" s="305"/>
      <c r="H21" s="304"/>
      <c r="I21" s="305"/>
      <c r="J21" s="306"/>
      <c r="K21" s="305"/>
      <c r="L21" s="148">
        <f t="shared" si="0"/>
        <v>0</v>
      </c>
      <c r="M21" s="308">
        <f t="shared" si="0"/>
        <v>0</v>
      </c>
    </row>
    <row r="22" spans="1:13" ht="20.25" customHeight="1">
      <c r="A22" s="21">
        <v>16</v>
      </c>
      <c r="B22" s="21" t="s">
        <v>24</v>
      </c>
      <c r="C22" s="21"/>
      <c r="D22" s="21"/>
      <c r="E22" s="21"/>
      <c r="F22" s="304"/>
      <c r="G22" s="305"/>
      <c r="H22" s="304"/>
      <c r="I22" s="305"/>
      <c r="J22" s="306"/>
      <c r="K22" s="305"/>
      <c r="L22" s="148">
        <f t="shared" si="0"/>
        <v>0</v>
      </c>
      <c r="M22" s="308">
        <f t="shared" si="0"/>
        <v>0</v>
      </c>
    </row>
    <row r="23" spans="1:13" ht="20.25" customHeight="1">
      <c r="A23" s="21">
        <v>17</v>
      </c>
      <c r="B23" s="21" t="s">
        <v>33</v>
      </c>
      <c r="C23" s="21"/>
      <c r="D23" s="21"/>
      <c r="E23" s="21"/>
      <c r="F23" s="304"/>
      <c r="G23" s="305"/>
      <c r="H23" s="304"/>
      <c r="I23" s="305"/>
      <c r="J23" s="306"/>
      <c r="K23" s="305"/>
      <c r="L23" s="148">
        <f t="shared" si="0"/>
        <v>0</v>
      </c>
      <c r="M23" s="308">
        <f t="shared" si="0"/>
        <v>0</v>
      </c>
    </row>
    <row r="24" spans="1:13" ht="20.25" customHeight="1">
      <c r="A24" s="21">
        <v>18</v>
      </c>
      <c r="B24" s="24" t="s">
        <v>25</v>
      </c>
      <c r="C24" s="24"/>
      <c r="D24" s="24"/>
      <c r="E24" s="21"/>
      <c r="F24" s="304"/>
      <c r="G24" s="305"/>
      <c r="H24" s="304"/>
      <c r="I24" s="305"/>
      <c r="J24" s="306"/>
      <c r="K24" s="305"/>
      <c r="L24" s="148">
        <f t="shared" si="0"/>
        <v>0</v>
      </c>
      <c r="M24" s="308">
        <f t="shared" si="0"/>
        <v>0</v>
      </c>
    </row>
    <row r="25" spans="1:13" ht="20.25" customHeight="1">
      <c r="A25" s="397" t="s">
        <v>26</v>
      </c>
      <c r="B25" s="398"/>
      <c r="C25" s="398"/>
      <c r="D25" s="398"/>
      <c r="E25" s="399"/>
      <c r="F25" s="140">
        <f>SUM(F7:F24)</f>
        <v>0</v>
      </c>
      <c r="G25" s="140">
        <f t="shared" ref="G25:M25" si="1">SUM(G7:G24)</f>
        <v>0</v>
      </c>
      <c r="H25" s="140">
        <f t="shared" si="1"/>
        <v>0</v>
      </c>
      <c r="I25" s="140">
        <f t="shared" si="1"/>
        <v>0</v>
      </c>
      <c r="J25" s="140">
        <f t="shared" si="1"/>
        <v>0</v>
      </c>
      <c r="K25" s="140">
        <f t="shared" si="1"/>
        <v>0</v>
      </c>
      <c r="L25" s="60">
        <f t="shared" si="1"/>
        <v>0</v>
      </c>
      <c r="M25" s="60">
        <f t="shared" si="1"/>
        <v>0</v>
      </c>
    </row>
    <row r="26" spans="1:1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>
      <c r="A27" s="411" t="s">
        <v>199</v>
      </c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M27" s="413"/>
    </row>
  </sheetData>
  <mergeCells count="15">
    <mergeCell ref="A1:M1"/>
    <mergeCell ref="L3:M3"/>
    <mergeCell ref="F4:M4"/>
    <mergeCell ref="L5:M5"/>
    <mergeCell ref="A27:M27"/>
    <mergeCell ref="J5:K5"/>
    <mergeCell ref="A3:E3"/>
    <mergeCell ref="A4:A6"/>
    <mergeCell ref="B4:B6"/>
    <mergeCell ref="E4:E6"/>
    <mergeCell ref="F5:G5"/>
    <mergeCell ref="H5:I5"/>
    <mergeCell ref="A25:E25"/>
    <mergeCell ref="C4:C6"/>
    <mergeCell ref="D4:D6"/>
  </mergeCells>
  <phoneticPr fontId="35" type="noConversion"/>
  <pageMargins left="0.78740157480314965" right="0.15748031496062992" top="0.70866141732283472" bottom="0.51181102362204722" header="0.43307086614173229" footer="0.31496062992125984"/>
  <pageSetup paperSize="9" scale="7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8"/>
  <sheetViews>
    <sheetView showGridLines="0" zoomScale="85" zoomScaleNormal="85" zoomScaleSheetLayoutView="85" workbookViewId="0">
      <selection sqref="A1:J1"/>
    </sheetView>
  </sheetViews>
  <sheetFormatPr defaultRowHeight="16.5"/>
  <cols>
    <col min="1" max="1" width="6" customWidth="1"/>
    <col min="2" max="2" width="8.625" customWidth="1"/>
    <col min="3" max="3" width="10" customWidth="1"/>
    <col min="4" max="5" width="9.125" customWidth="1"/>
    <col min="6" max="6" width="10.625" customWidth="1"/>
    <col min="7" max="7" width="15.625" customWidth="1"/>
    <col min="8" max="8" width="10.625" customWidth="1"/>
    <col min="9" max="9" width="15.625" customWidth="1"/>
    <col min="10" max="10" width="10.625" customWidth="1"/>
    <col min="11" max="11" width="15.625" customWidth="1"/>
    <col min="12" max="12" width="8.75" bestFit="1" customWidth="1"/>
    <col min="13" max="13" width="15.625" customWidth="1"/>
    <col min="14" max="14" width="10.875" style="20" bestFit="1" customWidth="1"/>
    <col min="15" max="16" width="9.375" bestFit="1" customWidth="1"/>
  </cols>
  <sheetData>
    <row r="1" spans="1:14" ht="29.25" customHeight="1">
      <c r="A1" s="361" t="s">
        <v>94</v>
      </c>
      <c r="B1" s="361"/>
      <c r="C1" s="361"/>
      <c r="D1" s="361"/>
      <c r="E1" s="361"/>
      <c r="F1" s="361"/>
      <c r="G1" s="361"/>
      <c r="H1" s="361"/>
      <c r="I1" s="361"/>
      <c r="J1" s="361"/>
      <c r="K1" s="158"/>
      <c r="L1" s="158"/>
      <c r="M1" s="158"/>
    </row>
    <row r="2" spans="1:14" ht="9.75" customHeight="1">
      <c r="A2" s="30"/>
      <c r="B2" s="30"/>
      <c r="C2" s="87"/>
      <c r="D2" s="87"/>
      <c r="E2" s="30"/>
      <c r="F2" s="30"/>
      <c r="G2" s="30"/>
      <c r="H2" s="30"/>
      <c r="I2" s="30"/>
      <c r="J2" s="30"/>
      <c r="K2" s="30"/>
      <c r="L2" s="30"/>
      <c r="M2" s="30"/>
    </row>
    <row r="3" spans="1:14">
      <c r="A3" s="380"/>
      <c r="B3" s="380"/>
      <c r="C3" s="380"/>
      <c r="D3" s="380"/>
      <c r="E3" s="380"/>
      <c r="F3" s="17"/>
      <c r="G3" s="18"/>
      <c r="H3" s="17"/>
      <c r="I3" s="18"/>
      <c r="J3" s="18"/>
      <c r="K3" s="18"/>
      <c r="L3" s="376"/>
      <c r="M3" s="376"/>
    </row>
    <row r="4" spans="1:14">
      <c r="A4" s="380"/>
      <c r="B4" s="380"/>
      <c r="C4" s="380"/>
      <c r="D4" s="106"/>
      <c r="E4" s="17"/>
      <c r="F4" s="18"/>
      <c r="G4" s="18"/>
      <c r="H4" s="18"/>
      <c r="I4" s="376" t="s">
        <v>32</v>
      </c>
      <c r="J4" s="376"/>
      <c r="N4"/>
    </row>
    <row r="5" spans="1:14" ht="24.75" customHeight="1">
      <c r="A5" s="414" t="s">
        <v>0</v>
      </c>
      <c r="B5" s="414" t="s">
        <v>1</v>
      </c>
      <c r="C5" s="414" t="s">
        <v>230</v>
      </c>
      <c r="D5" s="414" t="s">
        <v>195</v>
      </c>
      <c r="E5" s="551" t="s">
        <v>173</v>
      </c>
      <c r="F5" s="551"/>
      <c r="G5" s="551"/>
      <c r="H5" s="551"/>
      <c r="I5" s="551"/>
      <c r="J5" s="551"/>
      <c r="N5"/>
    </row>
    <row r="6" spans="1:14" ht="24.75" customHeight="1">
      <c r="A6" s="414"/>
      <c r="B6" s="414"/>
      <c r="C6" s="414"/>
      <c r="D6" s="414"/>
      <c r="E6" s="551" t="s">
        <v>5</v>
      </c>
      <c r="F6" s="551"/>
      <c r="G6" s="551" t="s">
        <v>27</v>
      </c>
      <c r="H6" s="551"/>
      <c r="I6" s="552" t="s">
        <v>65</v>
      </c>
      <c r="J6" s="552"/>
      <c r="N6"/>
    </row>
    <row r="7" spans="1:14" ht="20.25" customHeight="1">
      <c r="A7" s="414"/>
      <c r="B7" s="414"/>
      <c r="C7" s="414"/>
      <c r="D7" s="414"/>
      <c r="E7" s="50" t="s">
        <v>8</v>
      </c>
      <c r="F7" s="108" t="s">
        <v>29</v>
      </c>
      <c r="G7" s="51" t="s">
        <v>28</v>
      </c>
      <c r="H7" s="108" t="s">
        <v>9</v>
      </c>
      <c r="I7" s="50" t="s">
        <v>28</v>
      </c>
      <c r="J7" s="52" t="s">
        <v>29</v>
      </c>
      <c r="N7"/>
    </row>
    <row r="8" spans="1:14" ht="20.25" customHeight="1">
      <c r="A8" s="21">
        <v>1</v>
      </c>
      <c r="B8" s="21" t="s">
        <v>10</v>
      </c>
      <c r="C8" s="120"/>
      <c r="D8" s="21"/>
      <c r="E8" s="147"/>
      <c r="F8" s="147"/>
      <c r="G8" s="122"/>
      <c r="H8" s="122"/>
      <c r="I8" s="148">
        <f>E8+G8</f>
        <v>0</v>
      </c>
      <c r="J8" s="148">
        <f>F8+H8</f>
        <v>0</v>
      </c>
      <c r="N8"/>
    </row>
    <row r="9" spans="1:14" ht="20.25" customHeight="1">
      <c r="A9" s="21">
        <v>2</v>
      </c>
      <c r="B9" s="21" t="s">
        <v>11</v>
      </c>
      <c r="C9" s="149"/>
      <c r="D9" s="21"/>
      <c r="E9" s="147"/>
      <c r="F9" s="147"/>
      <c r="G9" s="122"/>
      <c r="H9" s="122"/>
      <c r="I9" s="148">
        <f t="shared" ref="I9:J25" si="0">E9+G9</f>
        <v>0</v>
      </c>
      <c r="J9" s="148">
        <f t="shared" si="0"/>
        <v>0</v>
      </c>
      <c r="N9"/>
    </row>
    <row r="10" spans="1:14" ht="20.25" customHeight="1">
      <c r="A10" s="21">
        <v>3</v>
      </c>
      <c r="B10" s="21" t="s">
        <v>12</v>
      </c>
      <c r="C10" s="21"/>
      <c r="D10" s="21"/>
      <c r="E10" s="121"/>
      <c r="F10" s="121"/>
      <c r="G10" s="122"/>
      <c r="H10" s="145"/>
      <c r="I10" s="148">
        <f t="shared" si="0"/>
        <v>0</v>
      </c>
      <c r="J10" s="148">
        <f t="shared" si="0"/>
        <v>0</v>
      </c>
      <c r="N10"/>
    </row>
    <row r="11" spans="1:14" ht="20.25" customHeight="1">
      <c r="A11" s="21">
        <v>4</v>
      </c>
      <c r="B11" s="21" t="s">
        <v>13</v>
      </c>
      <c r="C11" s="149"/>
      <c r="D11" s="21"/>
      <c r="E11" s="147"/>
      <c r="F11" s="7"/>
      <c r="G11" s="150"/>
      <c r="H11" s="150"/>
      <c r="I11" s="148">
        <f t="shared" si="0"/>
        <v>0</v>
      </c>
      <c r="J11" s="148">
        <f t="shared" si="0"/>
        <v>0</v>
      </c>
      <c r="N11"/>
    </row>
    <row r="12" spans="1:14" s="3" customFormat="1" ht="20.25" customHeight="1">
      <c r="A12" s="21">
        <v>5</v>
      </c>
      <c r="B12" s="21" t="s">
        <v>14</v>
      </c>
      <c r="C12" s="120"/>
      <c r="D12" s="21"/>
      <c r="E12" s="151"/>
      <c r="F12" s="151"/>
      <c r="G12" s="152"/>
      <c r="H12" s="152"/>
      <c r="I12" s="148">
        <f t="shared" si="0"/>
        <v>0</v>
      </c>
      <c r="J12" s="148">
        <f t="shared" si="0"/>
        <v>0</v>
      </c>
    </row>
    <row r="13" spans="1:14" ht="20.25" customHeight="1">
      <c r="A13" s="21">
        <v>6</v>
      </c>
      <c r="B13" s="21" t="s">
        <v>15</v>
      </c>
      <c r="C13" s="149"/>
      <c r="D13" s="21"/>
      <c r="E13" s="147"/>
      <c r="F13" s="147"/>
      <c r="G13" s="122"/>
      <c r="H13" s="122"/>
      <c r="I13" s="148">
        <f t="shared" si="0"/>
        <v>0</v>
      </c>
      <c r="J13" s="148">
        <f t="shared" si="0"/>
        <v>0</v>
      </c>
      <c r="N13"/>
    </row>
    <row r="14" spans="1:14" ht="20.25" customHeight="1">
      <c r="A14" s="21">
        <v>7</v>
      </c>
      <c r="B14" s="21" t="s">
        <v>16</v>
      </c>
      <c r="C14" s="21"/>
      <c r="D14" s="21"/>
      <c r="E14" s="147"/>
      <c r="F14" s="147"/>
      <c r="G14" s="133"/>
      <c r="H14" s="133"/>
      <c r="I14" s="148">
        <f t="shared" si="0"/>
        <v>0</v>
      </c>
      <c r="J14" s="148">
        <f t="shared" si="0"/>
        <v>0</v>
      </c>
      <c r="N14"/>
    </row>
    <row r="15" spans="1:14" ht="20.25" customHeight="1">
      <c r="A15" s="21">
        <v>8</v>
      </c>
      <c r="B15" s="21" t="s">
        <v>17</v>
      </c>
      <c r="C15" s="149"/>
      <c r="D15" s="21"/>
      <c r="E15" s="153"/>
      <c r="F15" s="147"/>
      <c r="G15" s="130"/>
      <c r="H15" s="122"/>
      <c r="I15" s="148">
        <f t="shared" si="0"/>
        <v>0</v>
      </c>
      <c r="J15" s="148">
        <f t="shared" si="0"/>
        <v>0</v>
      </c>
      <c r="N15"/>
    </row>
    <row r="16" spans="1:14" ht="20.25" customHeight="1">
      <c r="A16" s="21">
        <v>9</v>
      </c>
      <c r="B16" s="21" t="s">
        <v>18</v>
      </c>
      <c r="C16" s="149"/>
      <c r="D16" s="21"/>
      <c r="E16" s="147"/>
      <c r="F16" s="147"/>
      <c r="G16" s="122"/>
      <c r="H16" s="122"/>
      <c r="I16" s="148">
        <f t="shared" si="0"/>
        <v>0</v>
      </c>
      <c r="J16" s="148">
        <f t="shared" si="0"/>
        <v>0</v>
      </c>
      <c r="N16"/>
    </row>
    <row r="17" spans="1:14" ht="20.25" customHeight="1">
      <c r="A17" s="21">
        <v>10</v>
      </c>
      <c r="B17" s="21" t="s">
        <v>19</v>
      </c>
      <c r="C17" s="21"/>
      <c r="D17" s="21"/>
      <c r="E17" s="147"/>
      <c r="F17" s="147"/>
      <c r="G17" s="150"/>
      <c r="H17" s="150"/>
      <c r="I17" s="148">
        <f t="shared" si="0"/>
        <v>0</v>
      </c>
      <c r="J17" s="148">
        <f t="shared" si="0"/>
        <v>0</v>
      </c>
      <c r="N17"/>
    </row>
    <row r="18" spans="1:14" ht="20.25" customHeight="1">
      <c r="A18" s="21">
        <v>11</v>
      </c>
      <c r="B18" s="21" t="s">
        <v>20</v>
      </c>
      <c r="C18" s="149"/>
      <c r="D18" s="21"/>
      <c r="E18" s="147"/>
      <c r="F18" s="147"/>
      <c r="G18" s="150"/>
      <c r="H18" s="150"/>
      <c r="I18" s="148">
        <f t="shared" si="0"/>
        <v>0</v>
      </c>
      <c r="J18" s="148">
        <f t="shared" si="0"/>
        <v>0</v>
      </c>
      <c r="N18"/>
    </row>
    <row r="19" spans="1:14" ht="20.25" customHeight="1">
      <c r="A19" s="21">
        <v>12</v>
      </c>
      <c r="B19" s="21" t="s">
        <v>21</v>
      </c>
      <c r="C19" s="21"/>
      <c r="D19" s="21"/>
      <c r="E19" s="147"/>
      <c r="F19" s="147"/>
      <c r="G19" s="150"/>
      <c r="H19" s="150"/>
      <c r="I19" s="148">
        <f t="shared" si="0"/>
        <v>0</v>
      </c>
      <c r="J19" s="148">
        <f t="shared" si="0"/>
        <v>0</v>
      </c>
      <c r="N19"/>
    </row>
    <row r="20" spans="1:14" ht="20.25" customHeight="1">
      <c r="A20" s="21">
        <v>13</v>
      </c>
      <c r="B20" s="21" t="s">
        <v>30</v>
      </c>
      <c r="C20" s="149"/>
      <c r="D20" s="21"/>
      <c r="E20" s="122"/>
      <c r="F20" s="122"/>
      <c r="G20" s="154"/>
      <c r="H20" s="154"/>
      <c r="I20" s="148">
        <f t="shared" si="0"/>
        <v>0</v>
      </c>
      <c r="J20" s="148">
        <f t="shared" si="0"/>
        <v>0</v>
      </c>
      <c r="N20"/>
    </row>
    <row r="21" spans="1:14" ht="20.25" customHeight="1">
      <c r="A21" s="21">
        <v>14</v>
      </c>
      <c r="B21" s="21" t="s">
        <v>22</v>
      </c>
      <c r="C21" s="149"/>
      <c r="D21" s="21"/>
      <c r="E21" s="10"/>
      <c r="F21" s="10"/>
      <c r="G21" s="155"/>
      <c r="H21" s="155"/>
      <c r="I21" s="148">
        <f t="shared" si="0"/>
        <v>0</v>
      </c>
      <c r="J21" s="148">
        <f t="shared" si="0"/>
        <v>0</v>
      </c>
      <c r="N21"/>
    </row>
    <row r="22" spans="1:14" ht="20.25" customHeight="1">
      <c r="A22" s="21">
        <v>15</v>
      </c>
      <c r="B22" s="21" t="s">
        <v>23</v>
      </c>
      <c r="C22" s="149"/>
      <c r="D22" s="21"/>
      <c r="E22" s="147"/>
      <c r="F22" s="147"/>
      <c r="G22" s="133"/>
      <c r="H22" s="133"/>
      <c r="I22" s="148">
        <f t="shared" si="0"/>
        <v>0</v>
      </c>
      <c r="J22" s="148">
        <f t="shared" si="0"/>
        <v>0</v>
      </c>
      <c r="N22"/>
    </row>
    <row r="23" spans="1:14" ht="20.25" customHeight="1">
      <c r="A23" s="21">
        <v>16</v>
      </c>
      <c r="B23" s="21" t="s">
        <v>24</v>
      </c>
      <c r="C23" s="21"/>
      <c r="D23" s="21"/>
      <c r="E23" s="147"/>
      <c r="F23" s="147"/>
      <c r="G23" s="150"/>
      <c r="H23" s="150"/>
      <c r="I23" s="148">
        <f t="shared" si="0"/>
        <v>0</v>
      </c>
      <c r="J23" s="148">
        <f t="shared" si="0"/>
        <v>0</v>
      </c>
      <c r="M23" s="1"/>
      <c r="N23"/>
    </row>
    <row r="24" spans="1:14" ht="20.25" customHeight="1">
      <c r="A24" s="21">
        <v>17</v>
      </c>
      <c r="B24" s="21" t="s">
        <v>33</v>
      </c>
      <c r="C24" s="21"/>
      <c r="D24" s="21"/>
      <c r="E24" s="147"/>
      <c r="F24" s="147"/>
      <c r="G24" s="122"/>
      <c r="H24" s="147"/>
      <c r="I24" s="148">
        <f t="shared" si="0"/>
        <v>0</v>
      </c>
      <c r="J24" s="148">
        <f t="shared" si="0"/>
        <v>0</v>
      </c>
      <c r="N24"/>
    </row>
    <row r="25" spans="1:14" ht="20.25" customHeight="1">
      <c r="A25" s="21">
        <v>18</v>
      </c>
      <c r="B25" s="24" t="s">
        <v>25</v>
      </c>
      <c r="C25" s="21"/>
      <c r="D25" s="21"/>
      <c r="E25" s="147"/>
      <c r="F25" s="147"/>
      <c r="G25" s="133"/>
      <c r="H25" s="156"/>
      <c r="I25" s="148">
        <f t="shared" si="0"/>
        <v>0</v>
      </c>
      <c r="J25" s="148">
        <f t="shared" si="0"/>
        <v>0</v>
      </c>
      <c r="N25"/>
    </row>
    <row r="26" spans="1:14" ht="20.25" customHeight="1">
      <c r="A26" s="553" t="s">
        <v>26</v>
      </c>
      <c r="B26" s="553"/>
      <c r="C26" s="553"/>
      <c r="D26" s="157"/>
      <c r="E26" s="140">
        <f t="shared" ref="E26:I26" si="1">SUM(E8:E25)</f>
        <v>0</v>
      </c>
      <c r="F26" s="140">
        <f t="shared" si="1"/>
        <v>0</v>
      </c>
      <c r="G26" s="140">
        <f t="shared" si="1"/>
        <v>0</v>
      </c>
      <c r="H26" s="140">
        <f t="shared" si="1"/>
        <v>0</v>
      </c>
      <c r="I26" s="60">
        <f t="shared" si="1"/>
        <v>0</v>
      </c>
      <c r="J26" s="148">
        <f>SUM(J8:J25)</f>
        <v>0</v>
      </c>
      <c r="M26" s="1"/>
      <c r="N26"/>
    </row>
    <row r="27" spans="1:14">
      <c r="A27" s="19"/>
      <c r="B27" s="19"/>
      <c r="C27" s="19"/>
      <c r="D27" s="19"/>
      <c r="E27" s="19"/>
      <c r="F27" s="19"/>
      <c r="G27" s="19"/>
      <c r="H27" s="19"/>
      <c r="I27" s="19"/>
      <c r="J27" s="19"/>
      <c r="N27"/>
    </row>
    <row r="28" spans="1:14">
      <c r="A28" s="411" t="s">
        <v>199</v>
      </c>
      <c r="B28" s="412"/>
      <c r="C28" s="412"/>
      <c r="D28" s="412"/>
      <c r="E28" s="412"/>
      <c r="F28" s="412"/>
      <c r="G28" s="412"/>
      <c r="H28" s="412"/>
      <c r="I28" s="412"/>
      <c r="J28" s="413"/>
      <c r="N28"/>
    </row>
  </sheetData>
  <mergeCells count="15">
    <mergeCell ref="L3:M3"/>
    <mergeCell ref="A5:A7"/>
    <mergeCell ref="A26:C26"/>
    <mergeCell ref="A28:J28"/>
    <mergeCell ref="A4:C4"/>
    <mergeCell ref="I4:J4"/>
    <mergeCell ref="A1:J1"/>
    <mergeCell ref="B5:B7"/>
    <mergeCell ref="C5:C7"/>
    <mergeCell ref="D5:D7"/>
    <mergeCell ref="E5:J5"/>
    <mergeCell ref="E6:F6"/>
    <mergeCell ref="G6:H6"/>
    <mergeCell ref="I6:J6"/>
    <mergeCell ref="A3:E3"/>
  </mergeCells>
  <phoneticPr fontId="35" type="noConversion"/>
  <pageMargins left="0.78740157480314965" right="0.15748031496062992" top="0.70866141732283472" bottom="0.51181102362204722" header="0.43307086614173229" footer="0.31496062992125984"/>
  <pageSetup paperSize="9" scale="7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N27"/>
  <sheetViews>
    <sheetView showGridLines="0" zoomScale="85" zoomScaleNormal="85" zoomScaleSheetLayoutView="85" workbookViewId="0">
      <selection sqref="A1:K1"/>
    </sheetView>
  </sheetViews>
  <sheetFormatPr defaultRowHeight="16.5"/>
  <cols>
    <col min="1" max="1" width="7.875" customWidth="1"/>
    <col min="2" max="2" width="10.5" customWidth="1"/>
    <col min="3" max="3" width="10" customWidth="1"/>
    <col min="4" max="5" width="9.125" customWidth="1"/>
    <col min="6" max="6" width="10.875" customWidth="1"/>
    <col min="7" max="7" width="18.125" customWidth="1"/>
    <col min="8" max="8" width="10.875" customWidth="1"/>
    <col min="9" max="9" width="18.125" customWidth="1"/>
    <col min="10" max="10" width="10.875" customWidth="1"/>
    <col min="11" max="11" width="18.125" customWidth="1"/>
    <col min="12" max="12" width="10.875" style="20" bestFit="1" customWidth="1"/>
    <col min="13" max="14" width="9.375" bestFit="1" customWidth="1"/>
  </cols>
  <sheetData>
    <row r="1" spans="1:14" ht="29.25" customHeight="1">
      <c r="A1" s="361" t="s">
        <v>94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</row>
    <row r="2" spans="1:14" ht="9.75" customHeight="1">
      <c r="A2" s="30"/>
      <c r="B2" s="30"/>
      <c r="C2" s="87"/>
      <c r="D2" s="87"/>
      <c r="E2" s="30"/>
      <c r="F2" s="30"/>
      <c r="G2" s="30"/>
      <c r="H2" s="30"/>
      <c r="I2" s="30"/>
      <c r="J2" s="30"/>
      <c r="K2" s="30"/>
    </row>
    <row r="3" spans="1:14">
      <c r="A3" s="380"/>
      <c r="B3" s="380"/>
      <c r="C3" s="380"/>
      <c r="D3" s="380"/>
      <c r="E3" s="380"/>
      <c r="F3" s="17"/>
      <c r="G3" s="18"/>
      <c r="H3" s="17"/>
      <c r="I3" s="18"/>
      <c r="J3" s="376" t="s">
        <v>32</v>
      </c>
      <c r="K3" s="376"/>
    </row>
    <row r="4" spans="1:14" ht="24.75" customHeight="1">
      <c r="A4" s="414" t="s">
        <v>0</v>
      </c>
      <c r="B4" s="414" t="s">
        <v>1</v>
      </c>
      <c r="C4" s="405" t="s">
        <v>194</v>
      </c>
      <c r="D4" s="405" t="s">
        <v>195</v>
      </c>
      <c r="E4" s="405" t="s">
        <v>193</v>
      </c>
      <c r="F4" s="547" t="s">
        <v>173</v>
      </c>
      <c r="G4" s="547"/>
      <c r="H4" s="547"/>
      <c r="I4" s="547"/>
      <c r="J4" s="547"/>
      <c r="K4" s="548"/>
    </row>
    <row r="5" spans="1:14" ht="24.75" customHeight="1">
      <c r="A5" s="414"/>
      <c r="B5" s="414"/>
      <c r="C5" s="406"/>
      <c r="D5" s="406"/>
      <c r="E5" s="406"/>
      <c r="F5" s="546" t="s">
        <v>35</v>
      </c>
      <c r="G5" s="548"/>
      <c r="H5" s="551" t="s">
        <v>36</v>
      </c>
      <c r="I5" s="551"/>
      <c r="J5" s="549" t="s">
        <v>65</v>
      </c>
      <c r="K5" s="550"/>
    </row>
    <row r="6" spans="1:14" ht="20.25" customHeight="1">
      <c r="A6" s="414"/>
      <c r="B6" s="414"/>
      <c r="C6" s="407"/>
      <c r="D6" s="407"/>
      <c r="E6" s="407"/>
      <c r="F6" s="49" t="s">
        <v>8</v>
      </c>
      <c r="G6" s="49" t="s">
        <v>9</v>
      </c>
      <c r="H6" s="50" t="s">
        <v>8</v>
      </c>
      <c r="I6" s="49" t="s">
        <v>29</v>
      </c>
      <c r="J6" s="50" t="s">
        <v>28</v>
      </c>
      <c r="K6" s="52" t="s">
        <v>67</v>
      </c>
    </row>
    <row r="7" spans="1:14" ht="20.25" customHeight="1">
      <c r="A7" s="21">
        <v>1</v>
      </c>
      <c r="B7" s="21" t="s">
        <v>10</v>
      </c>
      <c r="C7" s="21"/>
      <c r="D7" s="21"/>
      <c r="E7" s="21"/>
      <c r="F7" s="4"/>
      <c r="G7" s="4"/>
      <c r="H7" s="6"/>
      <c r="I7" s="6"/>
      <c r="J7" s="59">
        <f>F7+H7</f>
        <v>0</v>
      </c>
      <c r="K7" s="59">
        <f>G7+I7</f>
        <v>0</v>
      </c>
    </row>
    <row r="8" spans="1:14" ht="20.25" customHeight="1">
      <c r="A8" s="21">
        <v>2</v>
      </c>
      <c r="B8" s="21" t="s">
        <v>11</v>
      </c>
      <c r="C8" s="21"/>
      <c r="D8" s="21"/>
      <c r="E8" s="21"/>
      <c r="F8" s="4"/>
      <c r="G8" s="4"/>
      <c r="H8" s="6"/>
      <c r="I8" s="6"/>
      <c r="J8" s="59">
        <f t="shared" ref="J8:K24" si="0">F8+H8</f>
        <v>0</v>
      </c>
      <c r="K8" s="59">
        <f t="shared" si="0"/>
        <v>0</v>
      </c>
      <c r="M8" s="1"/>
    </row>
    <row r="9" spans="1:14" ht="20.25" customHeight="1">
      <c r="A9" s="21">
        <v>3</v>
      </c>
      <c r="B9" s="28" t="s">
        <v>12</v>
      </c>
      <c r="C9" s="28"/>
      <c r="D9" s="28"/>
      <c r="E9" s="21"/>
      <c r="F9" s="8"/>
      <c r="G9" s="8"/>
      <c r="H9" s="5"/>
      <c r="I9" s="8"/>
      <c r="J9" s="59">
        <f t="shared" si="0"/>
        <v>0</v>
      </c>
      <c r="K9" s="59">
        <f t="shared" si="0"/>
        <v>0</v>
      </c>
    </row>
    <row r="10" spans="1:14" ht="20.25" customHeight="1">
      <c r="A10" s="21">
        <v>4</v>
      </c>
      <c r="B10" s="21" t="s">
        <v>13</v>
      </c>
      <c r="C10" s="21"/>
      <c r="D10" s="21"/>
      <c r="E10" s="21"/>
      <c r="F10" s="4"/>
      <c r="G10" s="4"/>
      <c r="H10" s="6"/>
      <c r="I10" s="6"/>
      <c r="J10" s="59">
        <f t="shared" si="0"/>
        <v>0</v>
      </c>
      <c r="K10" s="59">
        <f t="shared" si="0"/>
        <v>0</v>
      </c>
      <c r="M10" s="1"/>
    </row>
    <row r="11" spans="1:14" s="3" customFormat="1" ht="20.25" customHeight="1">
      <c r="A11" s="21">
        <v>5</v>
      </c>
      <c r="B11" s="22" t="s">
        <v>14</v>
      </c>
      <c r="C11" s="22"/>
      <c r="D11" s="22"/>
      <c r="E11" s="21"/>
      <c r="F11" s="4"/>
      <c r="G11" s="4"/>
      <c r="H11" s="6"/>
      <c r="I11" s="6"/>
      <c r="J11" s="59">
        <f t="shared" si="0"/>
        <v>0</v>
      </c>
      <c r="K11" s="59">
        <f t="shared" si="0"/>
        <v>0</v>
      </c>
      <c r="L11" s="25"/>
      <c r="M11" s="2"/>
      <c r="N11" s="2"/>
    </row>
    <row r="12" spans="1:14" ht="20.25" customHeight="1">
      <c r="A12" s="21">
        <v>6</v>
      </c>
      <c r="B12" s="21" t="s">
        <v>15</v>
      </c>
      <c r="C12" s="21"/>
      <c r="D12" s="21"/>
      <c r="E12" s="21"/>
      <c r="F12" s="4"/>
      <c r="G12" s="4"/>
      <c r="H12" s="6"/>
      <c r="I12" s="6"/>
      <c r="J12" s="59">
        <f t="shared" si="0"/>
        <v>0</v>
      </c>
      <c r="K12" s="59">
        <f t="shared" si="0"/>
        <v>0</v>
      </c>
      <c r="L12" s="26"/>
    </row>
    <row r="13" spans="1:14" ht="20.25" customHeight="1">
      <c r="A13" s="21">
        <v>7</v>
      </c>
      <c r="B13" s="22" t="s">
        <v>16</v>
      </c>
      <c r="C13" s="22"/>
      <c r="D13" s="22"/>
      <c r="E13" s="21"/>
      <c r="F13" s="4"/>
      <c r="G13" s="4"/>
      <c r="H13" s="6"/>
      <c r="I13" s="6"/>
      <c r="J13" s="59">
        <f t="shared" si="0"/>
        <v>0</v>
      </c>
      <c r="K13" s="59">
        <f t="shared" si="0"/>
        <v>0</v>
      </c>
      <c r="M13" s="1"/>
    </row>
    <row r="14" spans="1:14" ht="20.25" customHeight="1">
      <c r="A14" s="21">
        <v>8</v>
      </c>
      <c r="B14" s="23" t="s">
        <v>17</v>
      </c>
      <c r="C14" s="23"/>
      <c r="D14" s="23"/>
      <c r="E14" s="21"/>
      <c r="F14" s="13"/>
      <c r="G14" s="4"/>
      <c r="H14" s="12"/>
      <c r="I14" s="6"/>
      <c r="J14" s="59">
        <f t="shared" si="0"/>
        <v>0</v>
      </c>
      <c r="K14" s="59">
        <f t="shared" si="0"/>
        <v>0</v>
      </c>
    </row>
    <row r="15" spans="1:14" ht="20.25" customHeight="1">
      <c r="A15" s="21">
        <v>9</v>
      </c>
      <c r="B15" s="21" t="s">
        <v>18</v>
      </c>
      <c r="C15" s="21"/>
      <c r="D15" s="21"/>
      <c r="E15" s="21"/>
      <c r="F15" s="4"/>
      <c r="G15" s="4"/>
      <c r="H15" s="6"/>
      <c r="I15" s="6"/>
      <c r="J15" s="59">
        <f t="shared" si="0"/>
        <v>0</v>
      </c>
      <c r="K15" s="59">
        <f t="shared" si="0"/>
        <v>0</v>
      </c>
    </row>
    <row r="16" spans="1:14" ht="20.25" customHeight="1">
      <c r="A16" s="21">
        <v>10</v>
      </c>
      <c r="B16" s="21" t="s">
        <v>19</v>
      </c>
      <c r="C16" s="21"/>
      <c r="D16" s="21"/>
      <c r="E16" s="21"/>
      <c r="F16" s="4"/>
      <c r="G16" s="4"/>
      <c r="H16" s="6"/>
      <c r="I16" s="6"/>
      <c r="J16" s="59">
        <f t="shared" si="0"/>
        <v>0</v>
      </c>
      <c r="K16" s="59">
        <f t="shared" si="0"/>
        <v>0</v>
      </c>
      <c r="M16" s="1"/>
    </row>
    <row r="17" spans="1:13" ht="20.25" customHeight="1">
      <c r="A17" s="21">
        <v>11</v>
      </c>
      <c r="B17" s="21" t="s">
        <v>20</v>
      </c>
      <c r="C17" s="21"/>
      <c r="D17" s="21"/>
      <c r="E17" s="21"/>
      <c r="F17" s="4"/>
      <c r="G17" s="4"/>
      <c r="H17" s="6"/>
      <c r="I17" s="6"/>
      <c r="J17" s="59">
        <f t="shared" si="0"/>
        <v>0</v>
      </c>
      <c r="K17" s="59">
        <f t="shared" si="0"/>
        <v>0</v>
      </c>
    </row>
    <row r="18" spans="1:13" ht="20.25" customHeight="1">
      <c r="A18" s="21">
        <v>12</v>
      </c>
      <c r="B18" s="21" t="s">
        <v>21</v>
      </c>
      <c r="C18" s="21"/>
      <c r="D18" s="21"/>
      <c r="E18" s="21"/>
      <c r="F18" s="4"/>
      <c r="G18" s="4"/>
      <c r="H18" s="6"/>
      <c r="I18" s="6"/>
      <c r="J18" s="59">
        <f t="shared" si="0"/>
        <v>0</v>
      </c>
      <c r="K18" s="59">
        <f t="shared" si="0"/>
        <v>0</v>
      </c>
      <c r="M18" s="1"/>
    </row>
    <row r="19" spans="1:13" ht="20.25" customHeight="1">
      <c r="A19" s="21">
        <v>13</v>
      </c>
      <c r="B19" s="21" t="s">
        <v>30</v>
      </c>
      <c r="C19" s="21"/>
      <c r="D19" s="21"/>
      <c r="E19" s="21"/>
      <c r="F19" s="4"/>
      <c r="G19" s="4"/>
      <c r="H19" s="6"/>
      <c r="I19" s="6"/>
      <c r="J19" s="59">
        <f t="shared" si="0"/>
        <v>0</v>
      </c>
      <c r="K19" s="59">
        <f t="shared" si="0"/>
        <v>0</v>
      </c>
    </row>
    <row r="20" spans="1:13" ht="20.25" customHeight="1">
      <c r="A20" s="21">
        <v>14</v>
      </c>
      <c r="B20" s="21" t="s">
        <v>22</v>
      </c>
      <c r="C20" s="21"/>
      <c r="D20" s="21"/>
      <c r="E20" s="21"/>
      <c r="F20" s="4"/>
      <c r="G20" s="4"/>
      <c r="H20" s="6"/>
      <c r="I20" s="6"/>
      <c r="J20" s="59">
        <f t="shared" si="0"/>
        <v>0</v>
      </c>
      <c r="K20" s="59">
        <f t="shared" si="0"/>
        <v>0</v>
      </c>
    </row>
    <row r="21" spans="1:13" ht="20.25" customHeight="1">
      <c r="A21" s="21">
        <v>15</v>
      </c>
      <c r="B21" s="21" t="s">
        <v>23</v>
      </c>
      <c r="C21" s="21"/>
      <c r="D21" s="21"/>
      <c r="E21" s="21"/>
      <c r="F21" s="4"/>
      <c r="G21" s="4"/>
      <c r="H21" s="6"/>
      <c r="I21" s="6"/>
      <c r="J21" s="59">
        <f t="shared" si="0"/>
        <v>0</v>
      </c>
      <c r="K21" s="59">
        <f t="shared" si="0"/>
        <v>0</v>
      </c>
    </row>
    <row r="22" spans="1:13" ht="20.25" customHeight="1">
      <c r="A22" s="21">
        <v>16</v>
      </c>
      <c r="B22" s="21" t="s">
        <v>24</v>
      </c>
      <c r="C22" s="21"/>
      <c r="D22" s="21"/>
      <c r="E22" s="21"/>
      <c r="F22" s="4"/>
      <c r="G22" s="4"/>
      <c r="H22" s="6"/>
      <c r="I22" s="6"/>
      <c r="J22" s="59">
        <f t="shared" si="0"/>
        <v>0</v>
      </c>
      <c r="K22" s="59">
        <f t="shared" si="0"/>
        <v>0</v>
      </c>
    </row>
    <row r="23" spans="1:13" ht="20.25" customHeight="1">
      <c r="A23" s="21">
        <v>17</v>
      </c>
      <c r="B23" s="21" t="s">
        <v>33</v>
      </c>
      <c r="C23" s="21"/>
      <c r="D23" s="21"/>
      <c r="E23" s="21"/>
      <c r="F23" s="4"/>
      <c r="G23" s="4"/>
      <c r="H23" s="6"/>
      <c r="I23" s="6"/>
      <c r="J23" s="59">
        <f t="shared" si="0"/>
        <v>0</v>
      </c>
      <c r="K23" s="59">
        <f t="shared" si="0"/>
        <v>0</v>
      </c>
    </row>
    <row r="24" spans="1:13" ht="20.25" customHeight="1">
      <c r="A24" s="21">
        <v>18</v>
      </c>
      <c r="B24" s="24" t="s">
        <v>25</v>
      </c>
      <c r="C24" s="24"/>
      <c r="D24" s="24"/>
      <c r="E24" s="21"/>
      <c r="F24" s="4"/>
      <c r="G24" s="4"/>
      <c r="H24" s="6"/>
      <c r="I24" s="6"/>
      <c r="J24" s="59">
        <f t="shared" si="0"/>
        <v>0</v>
      </c>
      <c r="K24" s="59">
        <f t="shared" si="0"/>
        <v>0</v>
      </c>
    </row>
    <row r="25" spans="1:13" ht="20.25" customHeight="1">
      <c r="A25" s="416" t="s">
        <v>26</v>
      </c>
      <c r="B25" s="417"/>
      <c r="C25" s="417"/>
      <c r="D25" s="417"/>
      <c r="E25" s="418"/>
      <c r="F25" s="14">
        <f t="shared" ref="F25:K25" si="1">SUM(F7:F24)</f>
        <v>0</v>
      </c>
      <c r="G25" s="14">
        <f t="shared" si="1"/>
        <v>0</v>
      </c>
      <c r="H25" s="14">
        <f t="shared" si="1"/>
        <v>0</v>
      </c>
      <c r="I25" s="14">
        <f t="shared" si="1"/>
        <v>0</v>
      </c>
      <c r="J25" s="60">
        <f t="shared" si="1"/>
        <v>0</v>
      </c>
      <c r="K25" s="60">
        <f t="shared" si="1"/>
        <v>0</v>
      </c>
      <c r="L25" s="27"/>
    </row>
    <row r="26" spans="1:1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7"/>
    </row>
    <row r="27" spans="1:13">
      <c r="A27" s="411" t="s">
        <v>199</v>
      </c>
      <c r="B27" s="412"/>
      <c r="C27" s="412"/>
      <c r="D27" s="412"/>
      <c r="E27" s="412"/>
      <c r="F27" s="412"/>
      <c r="G27" s="412"/>
      <c r="H27" s="412"/>
      <c r="I27" s="412"/>
      <c r="J27" s="412"/>
      <c r="K27" s="413"/>
    </row>
  </sheetData>
  <mergeCells count="14">
    <mergeCell ref="A25:E25"/>
    <mergeCell ref="A27:K27"/>
    <mergeCell ref="A1:K1"/>
    <mergeCell ref="A3:E3"/>
    <mergeCell ref="J3:K3"/>
    <mergeCell ref="A4:A6"/>
    <mergeCell ref="B4:B6"/>
    <mergeCell ref="E4:E6"/>
    <mergeCell ref="F4:K4"/>
    <mergeCell ref="F5:G5"/>
    <mergeCell ref="H5:I5"/>
    <mergeCell ref="J5:K5"/>
    <mergeCell ref="C4:C6"/>
    <mergeCell ref="D4:D6"/>
  </mergeCells>
  <phoneticPr fontId="35" type="noConversion"/>
  <pageMargins left="0.78740157480314965" right="0.15748031496062992" top="0.70866141732283472" bottom="0.51181102362204722" header="0.43307086614173229" footer="0.31496062992125984"/>
  <pageSetup paperSize="9" scale="7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7"/>
  <sheetViews>
    <sheetView showGridLines="0" zoomScale="85" zoomScaleNormal="85" workbookViewId="0">
      <selection sqref="A1:I1"/>
    </sheetView>
  </sheetViews>
  <sheetFormatPr defaultRowHeight="16.5"/>
  <cols>
    <col min="1" max="1" width="5.125" customWidth="1"/>
    <col min="2" max="2" width="19.75" customWidth="1"/>
    <col min="3" max="3" width="18" customWidth="1"/>
    <col min="4" max="4" width="8.5" customWidth="1"/>
    <col min="5" max="6" width="15.75" customWidth="1"/>
    <col min="7" max="9" width="12.625" customWidth="1"/>
  </cols>
  <sheetData>
    <row r="1" spans="1:9" ht="30.75" customHeight="1">
      <c r="A1" s="390" t="s">
        <v>95</v>
      </c>
      <c r="B1" s="390"/>
      <c r="C1" s="390"/>
      <c r="D1" s="390"/>
      <c r="E1" s="390"/>
      <c r="F1" s="390"/>
      <c r="G1" s="390"/>
      <c r="H1" s="390"/>
      <c r="I1" s="390"/>
    </row>
    <row r="2" spans="1:9" ht="18.75">
      <c r="A2" s="31"/>
      <c r="B2" s="31"/>
      <c r="C2" s="31"/>
      <c r="D2" s="31"/>
      <c r="E2" s="31"/>
      <c r="F2" s="31"/>
      <c r="G2" s="31"/>
      <c r="H2" s="31"/>
    </row>
    <row r="3" spans="1:9" ht="18.75">
      <c r="A3" s="31"/>
      <c r="B3" s="31"/>
      <c r="C3" s="31"/>
      <c r="D3" s="31"/>
      <c r="E3" s="31"/>
      <c r="F3" s="31"/>
      <c r="G3" s="38"/>
      <c r="H3" s="554" t="s">
        <v>42</v>
      </c>
      <c r="I3" s="554"/>
    </row>
    <row r="4" spans="1:9" ht="42" customHeight="1">
      <c r="A4" s="39" t="s">
        <v>0</v>
      </c>
      <c r="B4" s="39" t="s">
        <v>43</v>
      </c>
      <c r="C4" s="39" t="s">
        <v>96</v>
      </c>
      <c r="D4" s="39" t="s">
        <v>97</v>
      </c>
      <c r="E4" s="39" t="s">
        <v>98</v>
      </c>
      <c r="F4" s="39" t="s">
        <v>99</v>
      </c>
      <c r="G4" s="39" t="s">
        <v>100</v>
      </c>
      <c r="H4" s="39" t="s">
        <v>101</v>
      </c>
      <c r="I4" s="39" t="s">
        <v>102</v>
      </c>
    </row>
    <row r="5" spans="1:9" s="42" customFormat="1" ht="31.5" customHeight="1">
      <c r="A5" s="40"/>
      <c r="B5" s="40"/>
      <c r="C5" s="40"/>
      <c r="D5" s="40"/>
      <c r="E5" s="43"/>
      <c r="F5" s="43"/>
      <c r="G5" s="61">
        <f>E5-F5</f>
        <v>0</v>
      </c>
      <c r="H5" s="43"/>
      <c r="I5" s="61">
        <f>H5-G5</f>
        <v>0</v>
      </c>
    </row>
    <row r="6" spans="1:9">
      <c r="G6" t="s">
        <v>39</v>
      </c>
      <c r="H6" t="s">
        <v>39</v>
      </c>
      <c r="I6" t="s">
        <v>39</v>
      </c>
    </row>
    <row r="7" spans="1:9">
      <c r="A7" s="3" t="s">
        <v>63</v>
      </c>
    </row>
  </sheetData>
  <mergeCells count="2">
    <mergeCell ref="H3:I3"/>
    <mergeCell ref="A1:I1"/>
  </mergeCells>
  <phoneticPr fontId="35" type="noConversion"/>
  <pageMargins left="0.7" right="0.7" top="0.75" bottom="0.75" header="0.3" footer="0.3"/>
  <pageSetup paperSize="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L12"/>
  <sheetViews>
    <sheetView showGridLines="0" zoomScale="85" zoomScaleNormal="85" workbookViewId="0">
      <selection sqref="A1:L1"/>
    </sheetView>
  </sheetViews>
  <sheetFormatPr defaultRowHeight="16.5"/>
  <cols>
    <col min="1" max="1" width="4.375" customWidth="1"/>
    <col min="2" max="5" width="10.625" customWidth="1"/>
    <col min="6" max="6" width="12.625" customWidth="1"/>
    <col min="7" max="11" width="9.625" customWidth="1"/>
    <col min="12" max="12" width="12.625" customWidth="1"/>
  </cols>
  <sheetData>
    <row r="1" spans="1:12" ht="30.75" customHeight="1">
      <c r="A1" s="390" t="s">
        <v>111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</row>
    <row r="2" spans="1:12" ht="18.7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8.75">
      <c r="A3" s="31"/>
      <c r="B3" s="31"/>
      <c r="C3" s="31"/>
      <c r="D3" s="31"/>
      <c r="E3" s="31"/>
      <c r="F3" s="31"/>
      <c r="G3" s="31"/>
      <c r="H3" s="31"/>
      <c r="I3" s="31"/>
      <c r="J3" s="31"/>
      <c r="K3" s="554" t="s">
        <v>42</v>
      </c>
      <c r="L3" s="554"/>
    </row>
    <row r="4" spans="1:12" ht="42" customHeight="1">
      <c r="A4" s="39" t="s">
        <v>0</v>
      </c>
      <c r="B4" s="39" t="s">
        <v>43</v>
      </c>
      <c r="C4" s="39" t="s">
        <v>96</v>
      </c>
      <c r="D4" s="39" t="s">
        <v>110</v>
      </c>
      <c r="E4" s="39" t="s">
        <v>45</v>
      </c>
      <c r="F4" s="39" t="s">
        <v>103</v>
      </c>
      <c r="G4" s="39" t="s">
        <v>109</v>
      </c>
      <c r="H4" s="39" t="s">
        <v>108</v>
      </c>
      <c r="I4" s="39" t="s">
        <v>107</v>
      </c>
      <c r="J4" s="39" t="s">
        <v>106</v>
      </c>
      <c r="K4" s="39" t="s">
        <v>105</v>
      </c>
      <c r="L4" s="39" t="s">
        <v>104</v>
      </c>
    </row>
    <row r="5" spans="1:12" s="42" customFormat="1" ht="31.5" customHeight="1">
      <c r="A5" s="40"/>
      <c r="B5" s="40"/>
      <c r="C5" s="40"/>
      <c r="D5" s="40"/>
      <c r="E5" s="43"/>
      <c r="F5" s="43"/>
      <c r="G5" s="43"/>
      <c r="H5" s="43"/>
      <c r="I5" s="43"/>
      <c r="J5" s="43"/>
      <c r="K5" s="43"/>
      <c r="L5" s="43">
        <f>SUM(G5:K5)</f>
        <v>0</v>
      </c>
    </row>
    <row r="6" spans="1:12" s="42" customFormat="1" ht="31.5" customHeight="1">
      <c r="A6" s="40"/>
      <c r="B6" s="40"/>
      <c r="C6" s="40"/>
      <c r="D6" s="40"/>
      <c r="E6" s="43"/>
      <c r="F6" s="43"/>
      <c r="G6" s="43"/>
      <c r="H6" s="43"/>
      <c r="I6" s="43"/>
      <c r="J6" s="43"/>
      <c r="K6" s="43"/>
      <c r="L6" s="43">
        <f t="shared" ref="L6:L9" si="0">SUM(G6:K6)</f>
        <v>0</v>
      </c>
    </row>
    <row r="7" spans="1:12" s="42" customFormat="1" ht="31.5" customHeight="1">
      <c r="A7" s="40"/>
      <c r="B7" s="40"/>
      <c r="C7" s="40"/>
      <c r="D7" s="40"/>
      <c r="E7" s="43"/>
      <c r="F7" s="43"/>
      <c r="G7" s="43"/>
      <c r="H7" s="43"/>
      <c r="I7" s="43"/>
      <c r="J7" s="43"/>
      <c r="K7" s="43"/>
      <c r="L7" s="43">
        <f t="shared" si="0"/>
        <v>0</v>
      </c>
    </row>
    <row r="8" spans="1:12" s="42" customFormat="1" ht="31.5" customHeight="1">
      <c r="A8" s="40"/>
      <c r="B8" s="40"/>
      <c r="C8" s="40"/>
      <c r="D8" s="40"/>
      <c r="E8" s="43"/>
      <c r="F8" s="43"/>
      <c r="G8" s="43"/>
      <c r="H8" s="43"/>
      <c r="I8" s="43"/>
      <c r="J8" s="43"/>
      <c r="K8" s="43"/>
      <c r="L8" s="43">
        <f t="shared" si="0"/>
        <v>0</v>
      </c>
    </row>
    <row r="9" spans="1:12" s="42" customFormat="1" ht="31.5" customHeight="1">
      <c r="A9" s="40"/>
      <c r="B9" s="40"/>
      <c r="C9" s="40"/>
      <c r="D9" s="40"/>
      <c r="E9" s="43"/>
      <c r="F9" s="43"/>
      <c r="G9" s="43"/>
      <c r="H9" s="43"/>
      <c r="I9" s="43"/>
      <c r="J9" s="43"/>
      <c r="K9" s="43"/>
      <c r="L9" s="43">
        <f t="shared" si="0"/>
        <v>0</v>
      </c>
    </row>
    <row r="10" spans="1:12" s="42" customFormat="1" ht="31.5" customHeight="1">
      <c r="A10" s="392" t="s">
        <v>65</v>
      </c>
      <c r="B10" s="393"/>
      <c r="C10" s="393"/>
      <c r="D10" s="394"/>
      <c r="E10" s="62">
        <f>COUNTA(E5:E9)</f>
        <v>0</v>
      </c>
      <c r="F10" s="62"/>
      <c r="G10" s="62"/>
      <c r="H10" s="62"/>
      <c r="I10" s="62"/>
      <c r="J10" s="62"/>
      <c r="K10" s="62"/>
      <c r="L10" s="62">
        <f>SUM(L5:L9)</f>
        <v>0</v>
      </c>
    </row>
    <row r="12" spans="1:12">
      <c r="A12" s="3" t="s">
        <v>63</v>
      </c>
    </row>
  </sheetData>
  <mergeCells count="3">
    <mergeCell ref="A1:L1"/>
    <mergeCell ref="K3:L3"/>
    <mergeCell ref="A10:D10"/>
  </mergeCells>
  <phoneticPr fontId="35" type="noConversion"/>
  <pageMargins left="0.7" right="0.7" top="0.75" bottom="0.75" header="0.3" footer="0.3"/>
  <pageSetup paperSize="9" orientation="landscape" r:id="rId1"/>
  <ignoredErrors>
    <ignoredError sqref="L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목록</vt:lpstr>
      <vt:lpstr>서식3</vt:lpstr>
      <vt:lpstr>서식3_학교</vt:lpstr>
      <vt:lpstr>서식4-1(유)</vt:lpstr>
      <vt:lpstr>서식4-1(초,특수)</vt:lpstr>
      <vt:lpstr>서식4-1(중,고)</vt:lpstr>
      <vt:lpstr>서식4-2(유)</vt:lpstr>
      <vt:lpstr>서식4-2(초,특수)</vt:lpstr>
      <vt:lpstr>서식4-2(중,고)</vt:lpstr>
      <vt:lpstr>서식4-2(내역서)</vt:lpstr>
      <vt:lpstr>서식4-3(유)</vt:lpstr>
      <vt:lpstr>서식4-3(초,특수)</vt:lpstr>
      <vt:lpstr>서식4-3(중,고)</vt:lpstr>
      <vt:lpstr>서식4-4(유)_학교</vt:lpstr>
      <vt:lpstr>서식4-4(초,특수)_학교</vt:lpstr>
      <vt:lpstr>서식4-4(중,고)_학교</vt:lpstr>
      <vt:lpstr>서식4-4(내역서_평균임금)</vt:lpstr>
      <vt:lpstr>서식4-4(내역서_통상임금)</vt:lpstr>
      <vt:lpstr>별도서식(퇴직금 지급대장)</vt:lpstr>
      <vt:lpstr>서식4-5(유)</vt:lpstr>
      <vt:lpstr>서식4-5(초,특수)</vt:lpstr>
      <vt:lpstr>서식4-5(중,고)</vt:lpstr>
      <vt:lpstr>서식4-6</vt:lpstr>
      <vt:lpstr>서식4-6(내역서)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user</cp:lastModifiedBy>
  <cp:lastPrinted>2018-01-05T06:25:30Z</cp:lastPrinted>
  <dcterms:created xsi:type="dcterms:W3CDTF">2013-09-11T03:39:19Z</dcterms:created>
  <dcterms:modified xsi:type="dcterms:W3CDTF">2026-01-28T06:37:40Z</dcterms:modified>
</cp:coreProperties>
</file>