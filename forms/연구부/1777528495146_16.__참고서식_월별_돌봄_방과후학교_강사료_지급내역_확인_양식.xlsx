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4E1769D-DCA9-45D8-81D6-BEFE8FC365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지급확인서" sheetId="10" r:id="rId1"/>
    <sheet name="지급내역서" sheetId="8" r:id="rId2"/>
  </sheets>
  <definedNames>
    <definedName name="_xlnm.Print_Titles" localSheetId="0">지급확인서!$6:$6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0" i="8" l="1"/>
  <c r="F61" i="8"/>
  <c r="F55" i="8"/>
  <c r="F56" i="8"/>
  <c r="F50" i="8"/>
  <c r="F51" i="8"/>
  <c r="F45" i="8"/>
  <c r="F46" i="8"/>
  <c r="F40" i="8"/>
  <c r="F41" i="8"/>
  <c r="F35" i="8"/>
  <c r="F36" i="8"/>
  <c r="F30" i="8"/>
  <c r="F31" i="8"/>
  <c r="F24" i="8" l="1"/>
  <c r="F27" i="8"/>
  <c r="F26" i="8"/>
  <c r="F25" i="8"/>
  <c r="F22" i="8"/>
  <c r="F21" i="8"/>
  <c r="F20" i="8"/>
  <c r="F19" i="8"/>
  <c r="F17" i="8"/>
  <c r="F16" i="8"/>
  <c r="F15" i="8"/>
  <c r="F14" i="8"/>
  <c r="F12" i="8"/>
  <c r="F11" i="8"/>
  <c r="F10" i="8"/>
  <c r="F9" i="8"/>
  <c r="F5" i="8"/>
  <c r="F6" i="8"/>
  <c r="E7" i="8"/>
  <c r="E63" i="8" l="1"/>
  <c r="D63" i="8"/>
  <c r="E18" i="10" s="1"/>
  <c r="F62" i="8"/>
  <c r="F59" i="8"/>
  <c r="E58" i="8"/>
  <c r="D58" i="8"/>
  <c r="E17" i="10" s="1"/>
  <c r="F57" i="8"/>
  <c r="F54" i="8"/>
  <c r="E53" i="8"/>
  <c r="D53" i="8"/>
  <c r="E16" i="10" s="1"/>
  <c r="F52" i="8"/>
  <c r="F49" i="8"/>
  <c r="E48" i="8"/>
  <c r="D48" i="8"/>
  <c r="E15" i="10" s="1"/>
  <c r="F47" i="8"/>
  <c r="F44" i="8"/>
  <c r="E43" i="8"/>
  <c r="D43" i="8"/>
  <c r="E14" i="10" s="1"/>
  <c r="F42" i="8"/>
  <c r="F39" i="8"/>
  <c r="E38" i="8"/>
  <c r="D38" i="8"/>
  <c r="E13" i="10" s="1"/>
  <c r="F37" i="8"/>
  <c r="F34" i="8"/>
  <c r="E33" i="8"/>
  <c r="D33" i="8"/>
  <c r="E12" i="10" s="1"/>
  <c r="F32" i="8"/>
  <c r="F29" i="8"/>
  <c r="E28" i="8"/>
  <c r="D28" i="8"/>
  <c r="E23" i="8"/>
  <c r="D23" i="8"/>
  <c r="E10" i="10" s="1"/>
  <c r="E18" i="8"/>
  <c r="D18" i="8"/>
  <c r="E9" i="10" s="1"/>
  <c r="E13" i="8"/>
  <c r="D13" i="8"/>
  <c r="E8" i="10" s="1"/>
  <c r="E8" i="8"/>
  <c r="D8" i="8"/>
  <c r="E64" i="8" l="1"/>
  <c r="D64" i="8"/>
  <c r="E7" i="10"/>
  <c r="E19" i="10" s="1"/>
  <c r="F48" i="8"/>
  <c r="F53" i="8"/>
  <c r="F58" i="8"/>
  <c r="F63" i="8"/>
  <c r="F13" i="8"/>
  <c r="F18" i="8"/>
  <c r="F23" i="8"/>
  <c r="F28" i="8"/>
  <c r="F33" i="8"/>
  <c r="F38" i="8"/>
  <c r="F43" i="8"/>
  <c r="B2" i="10"/>
  <c r="B19" i="10"/>
  <c r="F4" i="10"/>
  <c r="C18" i="10" l="1"/>
  <c r="D18" i="10" s="1"/>
  <c r="C8" i="10"/>
  <c r="D8" i="10" s="1"/>
  <c r="C7" i="10"/>
  <c r="C9" i="10"/>
  <c r="D9" i="10" s="1"/>
  <c r="C10" i="10"/>
  <c r="D10" i="10" s="1"/>
  <c r="C11" i="10"/>
  <c r="D11" i="10" s="1"/>
  <c r="C12" i="10"/>
  <c r="D12" i="10" s="1"/>
  <c r="C13" i="10"/>
  <c r="D13" i="10" s="1"/>
  <c r="C14" i="10"/>
  <c r="D14" i="10" s="1"/>
  <c r="C15" i="10"/>
  <c r="D15" i="10" s="1"/>
  <c r="C16" i="10"/>
  <c r="D16" i="10" s="1"/>
  <c r="C17" i="10"/>
  <c r="D17" i="10" s="1"/>
  <c r="C19" i="10" l="1"/>
  <c r="F19" i="10" s="1"/>
  <c r="F18" i="10"/>
  <c r="F9" i="10"/>
  <c r="F17" i="10"/>
  <c r="F8" i="10"/>
  <c r="F12" i="10"/>
  <c r="D7" i="10"/>
  <c r="F16" i="10"/>
  <c r="F15" i="10"/>
  <c r="F14" i="10"/>
  <c r="F11" i="10"/>
  <c r="F10" i="10"/>
  <c r="F13" i="10"/>
  <c r="D19" i="10" l="1"/>
  <c r="F4" i="8"/>
  <c r="F7" i="8"/>
  <c r="F8" i="8" l="1"/>
  <c r="F64" i="8" s="1"/>
  <c r="F7" i="10" l="1"/>
</calcChain>
</file>

<file path=xl/sharedStrings.xml><?xml version="1.0" encoding="utf-8"?>
<sst xmlns="http://schemas.openxmlformats.org/spreadsheetml/2006/main" count="54" uniqueCount="43">
  <si>
    <t>강사명</t>
    <phoneticPr fontId="1" type="noConversion"/>
  </si>
  <si>
    <t>전화번호</t>
    <phoneticPr fontId="2" type="noConversion"/>
  </si>
  <si>
    <t>사업자등록번호</t>
    <phoneticPr fontId="2" type="noConversion"/>
  </si>
  <si>
    <t>계약건명</t>
    <phoneticPr fontId="1" type="noConversion"/>
  </si>
  <si>
    <t>강사료금액</t>
    <phoneticPr fontId="1" type="noConversion"/>
  </si>
  <si>
    <t>공제액</t>
    <phoneticPr fontId="1" type="noConversion"/>
  </si>
  <si>
    <t>실지급액</t>
    <phoneticPr fontId="1" type="noConversion"/>
  </si>
  <si>
    <t>작
성
자</t>
    <phoneticPr fontId="1" type="noConversion"/>
  </si>
  <si>
    <t>(인)</t>
    <phoneticPr fontId="1" type="noConversion"/>
  </si>
  <si>
    <t>인건비
지급비율</t>
    <phoneticPr fontId="1" type="noConversion"/>
  </si>
  <si>
    <t>계약명</t>
    <phoneticPr fontId="1" type="noConversion"/>
  </si>
  <si>
    <t>기초금액</t>
    <phoneticPr fontId="1" type="noConversion"/>
  </si>
  <si>
    <t>낙찰금액
(계약금액)</t>
    <phoneticPr fontId="1" type="noConversion"/>
  </si>
  <si>
    <t xml:space="preserve">월별 </t>
    <phoneticPr fontId="1" type="noConversion"/>
  </si>
  <si>
    <t>강사료지급액
(공제전금액)</t>
    <phoneticPr fontId="1" type="noConversion"/>
  </si>
  <si>
    <t>작
성
자</t>
    <phoneticPr fontId="1" type="noConversion"/>
  </si>
  <si>
    <t>업체명</t>
    <phoneticPr fontId="2" type="noConversion"/>
  </si>
  <si>
    <t>사업자등록번호</t>
    <phoneticPr fontId="2" type="noConversion"/>
  </si>
  <si>
    <t>대표자</t>
    <phoneticPr fontId="2" type="noConversion"/>
  </si>
  <si>
    <t>(인)</t>
    <phoneticPr fontId="1" type="noConversion"/>
  </si>
  <si>
    <t>전화번호</t>
    <phoneticPr fontId="2" type="noConversion"/>
  </si>
  <si>
    <t>확인자</t>
    <phoneticPr fontId="1" type="noConversion"/>
  </si>
  <si>
    <t>소속</t>
    <phoneticPr fontId="1" type="noConversion"/>
  </si>
  <si>
    <t>직위(직급)</t>
    <phoneticPr fontId="1" type="noConversion"/>
  </si>
  <si>
    <t>성명</t>
    <phoneticPr fontId="1" type="noConversion"/>
  </si>
  <si>
    <t>기초자료(낙찰금액란에 낙찰금액과 계약금액이 틀린 경우 계약금액 입력)</t>
    <phoneticPr fontId="1" type="noConversion"/>
  </si>
  <si>
    <t>(서명)</t>
    <phoneticPr fontId="1" type="noConversion"/>
  </si>
  <si>
    <t>기초금액대비
낙찰율
(낙찰금액/기초금액)</t>
    <phoneticPr fontId="1" type="noConversion"/>
  </si>
  <si>
    <r>
      <t xml:space="preserve">월별인건비지급
기준 기초금액
</t>
    </r>
    <r>
      <rPr>
        <sz val="9"/>
        <color theme="1"/>
        <rFont val="맑은 고딕"/>
        <family val="3"/>
        <charset val="129"/>
        <scheme val="minor"/>
      </rPr>
      <t>(청구금액/기초금액대비낙찰율)</t>
    </r>
    <phoneticPr fontId="1" type="noConversion"/>
  </si>
  <si>
    <r>
      <t xml:space="preserve">월별 지급율 반영
인건비 금액
</t>
    </r>
    <r>
      <rPr>
        <sz val="9"/>
        <color theme="1"/>
        <rFont val="맑은 고딕"/>
        <family val="3"/>
        <charset val="129"/>
        <scheme val="minor"/>
      </rPr>
      <t>(월별 인건비지급기준 기초금액*인건비지급비율)</t>
    </r>
    <phoneticPr fontId="1" type="noConversion"/>
  </si>
  <si>
    <r>
      <t xml:space="preserve">인건비
지급율
</t>
    </r>
    <r>
      <rPr>
        <sz val="9"/>
        <color theme="1"/>
        <rFont val="맑은 고딕"/>
        <family val="3"/>
        <charset val="129"/>
        <scheme val="minor"/>
      </rPr>
      <t>(강사료지급액/월별 인건비지급기준 기초금액)</t>
    </r>
    <phoneticPr fontId="1" type="noConversion"/>
  </si>
  <si>
    <t>월</t>
    <phoneticPr fontId="1" type="noConversion"/>
  </si>
  <si>
    <t>소계</t>
    <phoneticPr fontId="1" type="noConversion"/>
  </si>
  <si>
    <t>업체 강사료
청구금액</t>
    <phoneticPr fontId="1" type="noConversion"/>
  </si>
  <si>
    <t>합계</t>
    <phoneticPr fontId="1" type="noConversion"/>
  </si>
  <si>
    <t>합계(누계)</t>
    <phoneticPr fontId="1" type="noConversion"/>
  </si>
  <si>
    <t>인건비지급일</t>
    <phoneticPr fontId="1" type="noConversion"/>
  </si>
  <si>
    <t>과목명</t>
    <phoneticPr fontId="1" type="noConversion"/>
  </si>
  <si>
    <t xml:space="preserve"> </t>
    <phoneticPr fontId="1" type="noConversion"/>
  </si>
  <si>
    <t>지급내역현황(매월 강사료 지급 증빙자료 별도 제출)</t>
    <phoneticPr fontId="1" type="noConversion"/>
  </si>
  <si>
    <t>월별 돌봄·방과후학교 강사료 지급내역서</t>
    <phoneticPr fontId="1" type="noConversion"/>
  </si>
  <si>
    <t>○○초등학교 20○○학년도 돌봄·방과후학교 ○○ 프로그램 운영 위탁용역</t>
    <phoneticPr fontId="1" type="noConversion"/>
  </si>
  <si>
    <t>돌봄·방과후학교 강사료 지급확인서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</si>
</sst>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.0%"/>
    <numFmt numFmtId="178" formatCode="#,##0_);[Red]\(#,##0\)"/>
    <numFmt numFmtId="179" formatCode="0.000%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74">
    <xf numFmtId="0" fontId="0" fillId="0" borderId="0" xfId="0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176" fontId="0" fillId="2" borderId="1" xfId="0" applyNumberForma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176" fontId="0" fillId="0" borderId="1" xfId="0" applyNumberFormat="1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179" fontId="10" fillId="0" borderId="1" xfId="0" applyNumberFormat="1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right" vertical="center"/>
    </xf>
    <xf numFmtId="178" fontId="10" fillId="0" borderId="1" xfId="0" applyNumberFormat="1" applyFont="1" applyFill="1" applyBorder="1" applyAlignment="1">
      <alignment horizontal="right" vertical="center"/>
    </xf>
    <xf numFmtId="178" fontId="10" fillId="0" borderId="1" xfId="0" applyNumberFormat="1" applyFont="1" applyBorder="1" applyAlignment="1">
      <alignment horizontal="right" vertical="center"/>
    </xf>
    <xf numFmtId="176" fontId="9" fillId="0" borderId="1" xfId="0" applyNumberFormat="1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78" fontId="10" fillId="2" borderId="1" xfId="0" applyNumberFormat="1" applyFont="1" applyFill="1" applyBorder="1" applyAlignment="1">
      <alignment vertical="center"/>
    </xf>
    <xf numFmtId="177" fontId="0" fillId="2" borderId="1" xfId="0" applyNumberFormat="1" applyFill="1" applyBorder="1" applyAlignment="1">
      <alignment horizontal="center" vertical="center"/>
    </xf>
    <xf numFmtId="10" fontId="10" fillId="3" borderId="1" xfId="0" applyNumberFormat="1" applyFont="1" applyFill="1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left" vertical="center" indent="1" shrinkToFit="1"/>
    </xf>
    <xf numFmtId="0" fontId="11" fillId="0" borderId="1" xfId="0" applyFont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 indent="1"/>
    </xf>
  </cellXfs>
  <cellStyles count="2">
    <cellStyle name="표준" xfId="0" builtinId="0"/>
    <cellStyle name="표준 8" xfId="1" xr:uid="{00000000-0005-0000-0000-000001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150" zoomScaleNormal="150" workbookViewId="0">
      <selection activeCell="D6" sqref="D6"/>
    </sheetView>
  </sheetViews>
  <sheetFormatPr defaultRowHeight="16.5" x14ac:dyDescent="0.3"/>
  <cols>
    <col min="1" max="1" width="11.125" customWidth="1"/>
    <col min="2" max="5" width="15.625" customWidth="1"/>
    <col min="6" max="6" width="21.125" customWidth="1"/>
    <col min="8" max="8" width="14" customWidth="1"/>
  </cols>
  <sheetData>
    <row r="1" spans="1:6" ht="51.75" customHeight="1" x14ac:dyDescent="0.3">
      <c r="A1" s="46" t="s">
        <v>42</v>
      </c>
      <c r="B1" s="46"/>
      <c r="C1" s="46"/>
      <c r="D1" s="46"/>
      <c r="E1" s="12" t="s">
        <v>9</v>
      </c>
      <c r="F1" s="34">
        <v>0.8</v>
      </c>
    </row>
    <row r="2" spans="1:6" ht="31.5" customHeight="1" x14ac:dyDescent="0.3">
      <c r="A2" s="17" t="s">
        <v>10</v>
      </c>
      <c r="B2" s="47" t="str">
        <f>지급내역서!B2</f>
        <v>○○초등학교 20○○학년도 돌봄·방과후학교 ○○ 프로그램 운영 위탁용역</v>
      </c>
      <c r="C2" s="47"/>
      <c r="D2" s="47"/>
      <c r="E2" s="47"/>
      <c r="F2" s="47"/>
    </row>
    <row r="3" spans="1:6" ht="24.95" customHeight="1" x14ac:dyDescent="0.3">
      <c r="A3" s="48" t="s">
        <v>25</v>
      </c>
      <c r="B3" s="49"/>
      <c r="C3" s="49"/>
      <c r="D3" s="49"/>
      <c r="E3" s="49"/>
      <c r="F3" s="50"/>
    </row>
    <row r="4" spans="1:6" ht="56.25" customHeight="1" x14ac:dyDescent="0.3">
      <c r="A4" s="15" t="s">
        <v>11</v>
      </c>
      <c r="B4" s="33">
        <v>130000000</v>
      </c>
      <c r="C4" s="21" t="s">
        <v>12</v>
      </c>
      <c r="D4" s="33">
        <v>117000000</v>
      </c>
      <c r="E4" s="21" t="s">
        <v>27</v>
      </c>
      <c r="F4" s="22">
        <f>D4/B4</f>
        <v>0.9</v>
      </c>
    </row>
    <row r="5" spans="1:6" ht="26.25" customHeight="1" x14ac:dyDescent="0.3">
      <c r="A5" s="48" t="s">
        <v>39</v>
      </c>
      <c r="B5" s="51"/>
      <c r="C5" s="51"/>
      <c r="D5" s="51"/>
      <c r="E5" s="51"/>
      <c r="F5" s="52"/>
    </row>
    <row r="6" spans="1:6" ht="84.75" customHeight="1" x14ac:dyDescent="0.3">
      <c r="A6" s="14" t="s">
        <v>13</v>
      </c>
      <c r="B6" s="12" t="s">
        <v>33</v>
      </c>
      <c r="C6" s="23" t="s">
        <v>28</v>
      </c>
      <c r="D6" s="24" t="s">
        <v>29</v>
      </c>
      <c r="E6" s="12" t="s">
        <v>14</v>
      </c>
      <c r="F6" s="12" t="s">
        <v>30</v>
      </c>
    </row>
    <row r="7" spans="1:6" ht="24.95" customHeight="1" x14ac:dyDescent="0.3">
      <c r="A7" s="13">
        <v>3</v>
      </c>
      <c r="B7" s="25">
        <v>8700000</v>
      </c>
      <c r="C7" s="26">
        <f>B7/$F$4</f>
        <v>9666666.666666666</v>
      </c>
      <c r="D7" s="27">
        <f>C7*$F$1</f>
        <v>7733333.333333333</v>
      </c>
      <c r="E7" s="41">
        <f>지급내역서!D8</f>
        <v>7800000</v>
      </c>
      <c r="F7" s="16">
        <f>E7/C7</f>
        <v>0.80689655172413799</v>
      </c>
    </row>
    <row r="8" spans="1:6" ht="24.95" customHeight="1" x14ac:dyDescent="0.3">
      <c r="A8" s="13">
        <v>4</v>
      </c>
      <c r="B8" s="25">
        <v>7900000</v>
      </c>
      <c r="C8" s="26">
        <f t="shared" ref="C8:C18" si="0">B8/$F$4</f>
        <v>8777777.777777778</v>
      </c>
      <c r="D8" s="27">
        <f>C8*$F$1</f>
        <v>7022222.2222222229</v>
      </c>
      <c r="E8" s="41">
        <f>지급내역서!D13</f>
        <v>7360000</v>
      </c>
      <c r="F8" s="16">
        <f t="shared" ref="F8:F18" si="1">E8/C8</f>
        <v>0.83848101265822783</v>
      </c>
    </row>
    <row r="9" spans="1:6" ht="24.95" customHeight="1" x14ac:dyDescent="0.3">
      <c r="A9" s="13">
        <v>5</v>
      </c>
      <c r="B9" s="25">
        <v>8000000</v>
      </c>
      <c r="C9" s="26">
        <f t="shared" si="0"/>
        <v>8888888.8888888881</v>
      </c>
      <c r="D9" s="27">
        <f>C9*$F$1</f>
        <v>7111111.111111111</v>
      </c>
      <c r="E9" s="41">
        <f>지급내역서!D18</f>
        <v>7360000</v>
      </c>
      <c r="F9" s="16">
        <f t="shared" si="1"/>
        <v>0.82800000000000007</v>
      </c>
    </row>
    <row r="10" spans="1:6" ht="24.95" customHeight="1" x14ac:dyDescent="0.3">
      <c r="A10" s="13">
        <v>6</v>
      </c>
      <c r="B10" s="25">
        <v>8000000</v>
      </c>
      <c r="C10" s="26">
        <f t="shared" si="0"/>
        <v>8888888.8888888881</v>
      </c>
      <c r="D10" s="27">
        <f t="shared" ref="D10:D18" si="2">C10*$F$1</f>
        <v>7111111.111111111</v>
      </c>
      <c r="E10" s="41">
        <f>지급내역서!D23</f>
        <v>7360000</v>
      </c>
      <c r="F10" s="16">
        <f t="shared" si="1"/>
        <v>0.82800000000000007</v>
      </c>
    </row>
    <row r="11" spans="1:6" ht="24.95" customHeight="1" x14ac:dyDescent="0.3">
      <c r="A11" s="13">
        <v>7</v>
      </c>
      <c r="B11" s="25"/>
      <c r="C11" s="26">
        <f t="shared" si="0"/>
        <v>0</v>
      </c>
      <c r="D11" s="27">
        <f t="shared" si="2"/>
        <v>0</v>
      </c>
      <c r="E11" s="41"/>
      <c r="F11" s="16" t="e">
        <f t="shared" si="1"/>
        <v>#DIV/0!</v>
      </c>
    </row>
    <row r="12" spans="1:6" ht="24.95" customHeight="1" x14ac:dyDescent="0.3">
      <c r="A12" s="13">
        <v>8</v>
      </c>
      <c r="B12" s="25"/>
      <c r="C12" s="26">
        <f t="shared" si="0"/>
        <v>0</v>
      </c>
      <c r="D12" s="27">
        <f t="shared" si="2"/>
        <v>0</v>
      </c>
      <c r="E12" s="41">
        <f>지급내역서!D33</f>
        <v>0</v>
      </c>
      <c r="F12" s="16" t="e">
        <f t="shared" si="1"/>
        <v>#DIV/0!</v>
      </c>
    </row>
    <row r="13" spans="1:6" ht="24.95" customHeight="1" x14ac:dyDescent="0.3">
      <c r="A13" s="13">
        <v>9</v>
      </c>
      <c r="B13" s="25"/>
      <c r="C13" s="26">
        <f t="shared" si="0"/>
        <v>0</v>
      </c>
      <c r="D13" s="27">
        <f t="shared" si="2"/>
        <v>0</v>
      </c>
      <c r="E13" s="41">
        <f>지급내역서!D38</f>
        <v>0</v>
      </c>
      <c r="F13" s="16" t="e">
        <f t="shared" si="1"/>
        <v>#DIV/0!</v>
      </c>
    </row>
    <row r="14" spans="1:6" ht="24.95" customHeight="1" x14ac:dyDescent="0.3">
      <c r="A14" s="13">
        <v>10</v>
      </c>
      <c r="B14" s="25"/>
      <c r="C14" s="26">
        <f t="shared" si="0"/>
        <v>0</v>
      </c>
      <c r="D14" s="27">
        <f t="shared" si="2"/>
        <v>0</v>
      </c>
      <c r="E14" s="41">
        <f>지급내역서!D43</f>
        <v>0</v>
      </c>
      <c r="F14" s="16" t="e">
        <f t="shared" si="1"/>
        <v>#DIV/0!</v>
      </c>
    </row>
    <row r="15" spans="1:6" ht="24.95" customHeight="1" x14ac:dyDescent="0.3">
      <c r="A15" s="13">
        <v>11</v>
      </c>
      <c r="B15" s="25"/>
      <c r="C15" s="26">
        <f t="shared" si="0"/>
        <v>0</v>
      </c>
      <c r="D15" s="27">
        <f t="shared" si="2"/>
        <v>0</v>
      </c>
      <c r="E15" s="41">
        <f>지급내역서!D48</f>
        <v>0</v>
      </c>
      <c r="F15" s="16" t="e">
        <f t="shared" si="1"/>
        <v>#DIV/0!</v>
      </c>
    </row>
    <row r="16" spans="1:6" ht="24.95" customHeight="1" x14ac:dyDescent="0.3">
      <c r="A16" s="13">
        <v>12</v>
      </c>
      <c r="B16" s="25"/>
      <c r="C16" s="26">
        <f t="shared" si="0"/>
        <v>0</v>
      </c>
      <c r="D16" s="27">
        <f t="shared" si="2"/>
        <v>0</v>
      </c>
      <c r="E16" s="41">
        <f>지급내역서!D53</f>
        <v>0</v>
      </c>
      <c r="F16" s="16" t="e">
        <f t="shared" si="1"/>
        <v>#DIV/0!</v>
      </c>
    </row>
    <row r="17" spans="1:6" ht="24.95" customHeight="1" x14ac:dyDescent="0.3">
      <c r="A17" s="13">
        <v>13</v>
      </c>
      <c r="B17" s="25"/>
      <c r="C17" s="26">
        <f t="shared" si="0"/>
        <v>0</v>
      </c>
      <c r="D17" s="27">
        <f t="shared" si="2"/>
        <v>0</v>
      </c>
      <c r="E17" s="41">
        <f>지급내역서!D58</f>
        <v>0</v>
      </c>
      <c r="F17" s="16" t="e">
        <f t="shared" si="1"/>
        <v>#DIV/0!</v>
      </c>
    </row>
    <row r="18" spans="1:6" ht="24.95" customHeight="1" x14ac:dyDescent="0.3">
      <c r="A18" s="13">
        <v>14</v>
      </c>
      <c r="B18" s="25"/>
      <c r="C18" s="26">
        <f t="shared" si="0"/>
        <v>0</v>
      </c>
      <c r="D18" s="27">
        <f t="shared" si="2"/>
        <v>0</v>
      </c>
      <c r="E18" s="41">
        <f>지급내역서!D63</f>
        <v>0</v>
      </c>
      <c r="F18" s="16" t="e">
        <f t="shared" si="1"/>
        <v>#DIV/0!</v>
      </c>
    </row>
    <row r="19" spans="1:6" ht="25.5" customHeight="1" x14ac:dyDescent="0.3">
      <c r="A19" s="11" t="s">
        <v>35</v>
      </c>
      <c r="B19" s="28">
        <f>SUM(B7:B18)</f>
        <v>32600000</v>
      </c>
      <c r="C19" s="28">
        <f t="shared" ref="C19:E19" si="3">SUM(C7:C18)</f>
        <v>36222222.222222224</v>
      </c>
      <c r="D19" s="28">
        <f t="shared" si="3"/>
        <v>28977777.77777778</v>
      </c>
      <c r="E19" s="28">
        <f t="shared" si="3"/>
        <v>29880000</v>
      </c>
      <c r="F19" s="35">
        <f>E19/C19</f>
        <v>0.82490797546012262</v>
      </c>
    </row>
    <row r="20" spans="1:6" ht="19.5" customHeight="1" x14ac:dyDescent="0.3">
      <c r="B20" s="53"/>
      <c r="C20" s="53"/>
    </row>
    <row r="21" spans="1:6" ht="29.25" customHeight="1" x14ac:dyDescent="0.3">
      <c r="A21" s="44" t="s">
        <v>15</v>
      </c>
      <c r="B21" s="7" t="s">
        <v>16</v>
      </c>
      <c r="C21" s="55"/>
      <c r="D21" s="55"/>
      <c r="E21" s="18" t="s">
        <v>17</v>
      </c>
      <c r="F21" s="43"/>
    </row>
    <row r="22" spans="1:6" ht="27" customHeight="1" x14ac:dyDescent="0.3">
      <c r="A22" s="54"/>
      <c r="B22" s="7" t="s">
        <v>18</v>
      </c>
      <c r="C22" s="42"/>
      <c r="D22" s="10" t="s">
        <v>19</v>
      </c>
      <c r="E22" s="18" t="s">
        <v>20</v>
      </c>
      <c r="F22" s="43"/>
    </row>
    <row r="23" spans="1:6" ht="27" customHeight="1" x14ac:dyDescent="0.3">
      <c r="A23" s="44" t="s">
        <v>21</v>
      </c>
      <c r="B23" s="19" t="s">
        <v>22</v>
      </c>
      <c r="C23" s="45"/>
      <c r="D23" s="45"/>
      <c r="E23" s="45"/>
      <c r="F23" s="45"/>
    </row>
    <row r="24" spans="1:6" ht="27" customHeight="1" x14ac:dyDescent="0.3">
      <c r="A24" s="44"/>
      <c r="B24" s="19" t="s">
        <v>23</v>
      </c>
      <c r="C24" s="45"/>
      <c r="D24" s="45"/>
      <c r="E24" s="45"/>
      <c r="F24" s="45"/>
    </row>
    <row r="25" spans="1:6" ht="27" customHeight="1" x14ac:dyDescent="0.3">
      <c r="A25" s="44"/>
      <c r="B25" s="19" t="s">
        <v>24</v>
      </c>
      <c r="C25" s="32"/>
      <c r="D25" s="29" t="s">
        <v>26</v>
      </c>
      <c r="E25" s="31"/>
      <c r="F25" s="30"/>
    </row>
  </sheetData>
  <mergeCells count="10">
    <mergeCell ref="A23:A25"/>
    <mergeCell ref="C23:F23"/>
    <mergeCell ref="C24:F24"/>
    <mergeCell ref="A1:D1"/>
    <mergeCell ref="B2:F2"/>
    <mergeCell ref="A3:F3"/>
    <mergeCell ref="A5:F5"/>
    <mergeCell ref="B20:C20"/>
    <mergeCell ref="A21:A22"/>
    <mergeCell ref="C21:D21"/>
  </mergeCells>
  <phoneticPr fontId="1" type="noConversion"/>
  <pageMargins left="0.70866141732283472" right="0.47244094488188981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workbookViewId="0">
      <selection activeCell="B3" sqref="B3"/>
    </sheetView>
  </sheetViews>
  <sheetFormatPr defaultRowHeight="16.5" x14ac:dyDescent="0.3"/>
  <cols>
    <col min="1" max="1" width="10.5" customWidth="1"/>
    <col min="2" max="2" width="13.5" customWidth="1"/>
    <col min="3" max="3" width="20.125" customWidth="1"/>
    <col min="4" max="6" width="15.625" customWidth="1"/>
    <col min="7" max="7" width="13.625" customWidth="1"/>
  </cols>
  <sheetData>
    <row r="1" spans="1:7" s="3" customFormat="1" ht="40.5" customHeight="1" x14ac:dyDescent="0.3">
      <c r="A1" s="67" t="s">
        <v>40</v>
      </c>
      <c r="B1" s="67"/>
      <c r="C1" s="67"/>
      <c r="D1" s="67"/>
      <c r="E1" s="67"/>
      <c r="F1" s="67"/>
      <c r="G1" s="67"/>
    </row>
    <row r="2" spans="1:7" ht="30" customHeight="1" x14ac:dyDescent="0.3">
      <c r="A2" s="37" t="s">
        <v>3</v>
      </c>
      <c r="B2" s="61" t="s">
        <v>41</v>
      </c>
      <c r="C2" s="62"/>
      <c r="D2" s="62"/>
      <c r="E2" s="62"/>
      <c r="F2" s="62"/>
      <c r="G2" s="63"/>
    </row>
    <row r="3" spans="1:7" ht="35.25" customHeight="1" x14ac:dyDescent="0.3">
      <c r="A3" s="38" t="s">
        <v>31</v>
      </c>
      <c r="B3" s="36" t="s">
        <v>37</v>
      </c>
      <c r="C3" s="2" t="s">
        <v>0</v>
      </c>
      <c r="D3" s="2" t="s">
        <v>4</v>
      </c>
      <c r="E3" s="2" t="s">
        <v>5</v>
      </c>
      <c r="F3" s="2" t="s">
        <v>6</v>
      </c>
      <c r="G3" s="2" t="s">
        <v>36</v>
      </c>
    </row>
    <row r="4" spans="1:7" ht="24.95" customHeight="1" x14ac:dyDescent="0.3">
      <c r="A4" s="68">
        <v>3</v>
      </c>
      <c r="B4" s="9"/>
      <c r="C4" s="9"/>
      <c r="D4" s="8"/>
      <c r="E4" s="8"/>
      <c r="F4" s="1">
        <f t="shared" ref="F4:F27" si="0">ROUND(D4-E4,-1)</f>
        <v>0</v>
      </c>
      <c r="G4" s="40"/>
    </row>
    <row r="5" spans="1:7" ht="24.95" customHeight="1" x14ac:dyDescent="0.3">
      <c r="A5" s="69"/>
      <c r="B5" s="40"/>
      <c r="C5" s="9"/>
      <c r="D5" s="8"/>
      <c r="E5" s="8"/>
      <c r="F5" s="1">
        <f t="shared" si="0"/>
        <v>0</v>
      </c>
      <c r="G5" s="40"/>
    </row>
    <row r="6" spans="1:7" ht="24.95" customHeight="1" x14ac:dyDescent="0.3">
      <c r="A6" s="69"/>
      <c r="B6" s="40"/>
      <c r="C6" s="9"/>
      <c r="D6" s="8"/>
      <c r="E6" s="8"/>
      <c r="F6" s="1">
        <f t="shared" si="0"/>
        <v>0</v>
      </c>
      <c r="G6" s="40"/>
    </row>
    <row r="7" spans="1:7" ht="24.95" customHeight="1" x14ac:dyDescent="0.3">
      <c r="A7" s="69"/>
      <c r="B7" s="40"/>
      <c r="C7" s="9"/>
      <c r="D7" s="8">
        <v>7800000</v>
      </c>
      <c r="E7" s="8">
        <f>D7*3.3%+D7*0.7%</f>
        <v>312000</v>
      </c>
      <c r="F7" s="1">
        <f t="shared" si="0"/>
        <v>7488000</v>
      </c>
      <c r="G7" s="40"/>
    </row>
    <row r="8" spans="1:7" ht="24.95" customHeight="1" x14ac:dyDescent="0.3">
      <c r="A8" s="70"/>
      <c r="B8" s="56" t="s">
        <v>32</v>
      </c>
      <c r="C8" s="57"/>
      <c r="D8" s="20">
        <f>SUM(D4:D7)</f>
        <v>7800000</v>
      </c>
      <c r="E8" s="20">
        <f t="shared" ref="E8:F8" si="1">SUM(E4:E7)</f>
        <v>312000</v>
      </c>
      <c r="F8" s="20">
        <f t="shared" si="1"/>
        <v>7488000</v>
      </c>
      <c r="G8" s="14"/>
    </row>
    <row r="9" spans="1:7" ht="24.95" customHeight="1" x14ac:dyDescent="0.3">
      <c r="A9" s="58">
        <v>4</v>
      </c>
      <c r="B9" s="40"/>
      <c r="C9" s="9"/>
      <c r="D9" s="8"/>
      <c r="E9" s="8"/>
      <c r="F9" s="1">
        <f t="shared" si="0"/>
        <v>0</v>
      </c>
      <c r="G9" s="9"/>
    </row>
    <row r="10" spans="1:7" ht="24.95" customHeight="1" x14ac:dyDescent="0.3">
      <c r="A10" s="59"/>
      <c r="B10" s="40"/>
      <c r="C10" s="9"/>
      <c r="D10" s="8"/>
      <c r="E10" s="8"/>
      <c r="F10" s="1">
        <f t="shared" si="0"/>
        <v>0</v>
      </c>
      <c r="G10" s="9"/>
    </row>
    <row r="11" spans="1:7" ht="24.95" customHeight="1" x14ac:dyDescent="0.3">
      <c r="A11" s="59"/>
      <c r="B11" s="40"/>
      <c r="C11" s="9"/>
      <c r="D11" s="8"/>
      <c r="E11" s="8"/>
      <c r="F11" s="1">
        <f t="shared" si="0"/>
        <v>0</v>
      </c>
      <c r="G11" s="9"/>
    </row>
    <row r="12" spans="1:7" ht="24.95" customHeight="1" x14ac:dyDescent="0.3">
      <c r="A12" s="59"/>
      <c r="B12" s="40"/>
      <c r="C12" s="9"/>
      <c r="D12" s="8">
        <v>7360000</v>
      </c>
      <c r="E12" s="8">
        <v>70000</v>
      </c>
      <c r="F12" s="1">
        <f t="shared" si="0"/>
        <v>7290000</v>
      </c>
      <c r="G12" s="9"/>
    </row>
    <row r="13" spans="1:7" ht="24.95" customHeight="1" x14ac:dyDescent="0.3">
      <c r="A13" s="60"/>
      <c r="B13" s="56" t="s">
        <v>32</v>
      </c>
      <c r="C13" s="57"/>
      <c r="D13" s="20">
        <f>SUM(D9:D12)</f>
        <v>7360000</v>
      </c>
      <c r="E13" s="20">
        <f t="shared" ref="E13" si="2">SUM(E9:E12)</f>
        <v>70000</v>
      </c>
      <c r="F13" s="20">
        <f t="shared" ref="F13" si="3">SUM(F9:F12)</f>
        <v>7290000</v>
      </c>
      <c r="G13" s="14"/>
    </row>
    <row r="14" spans="1:7" ht="24.95" customHeight="1" x14ac:dyDescent="0.3">
      <c r="A14" s="58">
        <v>5</v>
      </c>
      <c r="B14" s="39"/>
      <c r="C14" s="9"/>
      <c r="D14" s="8"/>
      <c r="E14" s="8"/>
      <c r="F14" s="1">
        <f t="shared" si="0"/>
        <v>0</v>
      </c>
      <c r="G14" s="9"/>
    </row>
    <row r="15" spans="1:7" ht="24.95" customHeight="1" x14ac:dyDescent="0.3">
      <c r="A15" s="59"/>
      <c r="B15" s="39"/>
      <c r="C15" s="9"/>
      <c r="D15" s="8"/>
      <c r="E15" s="8"/>
      <c r="F15" s="1">
        <f t="shared" si="0"/>
        <v>0</v>
      </c>
      <c r="G15" s="9"/>
    </row>
    <row r="16" spans="1:7" ht="24.95" customHeight="1" x14ac:dyDescent="0.3">
      <c r="A16" s="59"/>
      <c r="B16" s="39"/>
      <c r="C16" s="9"/>
      <c r="D16" s="8"/>
      <c r="E16" s="8"/>
      <c r="F16" s="1">
        <f t="shared" si="0"/>
        <v>0</v>
      </c>
      <c r="G16" s="9"/>
    </row>
    <row r="17" spans="1:7" ht="24.95" customHeight="1" x14ac:dyDescent="0.3">
      <c r="A17" s="59"/>
      <c r="B17" s="39"/>
      <c r="C17" s="9"/>
      <c r="D17" s="8">
        <v>7360000</v>
      </c>
      <c r="E17" s="8"/>
      <c r="F17" s="1">
        <f t="shared" si="0"/>
        <v>7360000</v>
      </c>
      <c r="G17" s="9"/>
    </row>
    <row r="18" spans="1:7" ht="24.95" customHeight="1" x14ac:dyDescent="0.3">
      <c r="A18" s="60"/>
      <c r="B18" s="56" t="s">
        <v>32</v>
      </c>
      <c r="C18" s="57"/>
      <c r="D18" s="20">
        <f>SUM(D14:D17)</f>
        <v>7360000</v>
      </c>
      <c r="E18" s="20">
        <f t="shared" ref="E18" si="4">SUM(E14:E17)</f>
        <v>0</v>
      </c>
      <c r="F18" s="20">
        <f t="shared" ref="F18" si="5">SUM(F14:F17)</f>
        <v>7360000</v>
      </c>
      <c r="G18" s="14"/>
    </row>
    <row r="19" spans="1:7" ht="24.95" customHeight="1" x14ac:dyDescent="0.3">
      <c r="A19" s="58">
        <v>6</v>
      </c>
      <c r="B19" s="39"/>
      <c r="C19" s="9"/>
      <c r="D19" s="8"/>
      <c r="E19" s="8"/>
      <c r="F19" s="1">
        <f t="shared" si="0"/>
        <v>0</v>
      </c>
      <c r="G19" s="9"/>
    </row>
    <row r="20" spans="1:7" ht="24.95" customHeight="1" x14ac:dyDescent="0.3">
      <c r="A20" s="59"/>
      <c r="B20" s="39"/>
      <c r="C20" s="9"/>
      <c r="D20" s="8"/>
      <c r="E20" s="8"/>
      <c r="F20" s="1">
        <f t="shared" si="0"/>
        <v>0</v>
      </c>
      <c r="G20" s="9"/>
    </row>
    <row r="21" spans="1:7" ht="24.95" customHeight="1" x14ac:dyDescent="0.3">
      <c r="A21" s="59"/>
      <c r="B21" s="39"/>
      <c r="C21" s="9"/>
      <c r="D21" s="8"/>
      <c r="E21" s="8"/>
      <c r="F21" s="1">
        <f t="shared" si="0"/>
        <v>0</v>
      </c>
      <c r="G21" s="9"/>
    </row>
    <row r="22" spans="1:7" ht="24.95" customHeight="1" x14ac:dyDescent="0.3">
      <c r="A22" s="59"/>
      <c r="B22" s="39"/>
      <c r="C22" s="9"/>
      <c r="D22" s="8">
        <v>7360000</v>
      </c>
      <c r="E22" s="8"/>
      <c r="F22" s="1">
        <f t="shared" si="0"/>
        <v>7360000</v>
      </c>
      <c r="G22" s="9"/>
    </row>
    <row r="23" spans="1:7" ht="24.95" customHeight="1" x14ac:dyDescent="0.3">
      <c r="A23" s="60"/>
      <c r="B23" s="56" t="s">
        <v>32</v>
      </c>
      <c r="C23" s="57"/>
      <c r="D23" s="20">
        <f>SUM(D19:D22)</f>
        <v>7360000</v>
      </c>
      <c r="E23" s="20">
        <f t="shared" ref="E23" si="6">SUM(E19:E22)</f>
        <v>0</v>
      </c>
      <c r="F23" s="20">
        <f t="shared" ref="F23" si="7">SUM(F19:F22)</f>
        <v>7360000</v>
      </c>
      <c r="G23" s="14"/>
    </row>
    <row r="24" spans="1:7" ht="24.95" customHeight="1" x14ac:dyDescent="0.3">
      <c r="A24" s="58">
        <v>7</v>
      </c>
      <c r="B24" s="39"/>
      <c r="C24" s="9"/>
      <c r="D24" s="8"/>
      <c r="E24" s="8"/>
      <c r="F24" s="1">
        <f>ROUND(D24-E24,-1)</f>
        <v>0</v>
      </c>
      <c r="G24" s="9"/>
    </row>
    <row r="25" spans="1:7" ht="24.95" customHeight="1" x14ac:dyDescent="0.3">
      <c r="A25" s="59"/>
      <c r="B25" s="39"/>
      <c r="C25" s="9"/>
      <c r="D25" s="8"/>
      <c r="E25" s="8"/>
      <c r="F25" s="1">
        <f t="shared" si="0"/>
        <v>0</v>
      </c>
      <c r="G25" s="9"/>
    </row>
    <row r="26" spans="1:7" ht="24.95" customHeight="1" x14ac:dyDescent="0.3">
      <c r="A26" s="59"/>
      <c r="B26" s="39"/>
      <c r="C26" s="9"/>
      <c r="D26" s="8"/>
      <c r="E26" s="8"/>
      <c r="F26" s="1">
        <f t="shared" si="0"/>
        <v>0</v>
      </c>
      <c r="G26" s="9"/>
    </row>
    <row r="27" spans="1:7" ht="24.95" customHeight="1" x14ac:dyDescent="0.3">
      <c r="A27" s="59"/>
      <c r="B27" s="39"/>
      <c r="C27" s="9"/>
      <c r="D27" s="8"/>
      <c r="E27" s="8"/>
      <c r="F27" s="1">
        <f t="shared" si="0"/>
        <v>0</v>
      </c>
      <c r="G27" s="9"/>
    </row>
    <row r="28" spans="1:7" ht="24.95" customHeight="1" x14ac:dyDescent="0.3">
      <c r="A28" s="60"/>
      <c r="B28" s="56" t="s">
        <v>32</v>
      </c>
      <c r="C28" s="57"/>
      <c r="D28" s="20">
        <f>SUM(D24:D27)</f>
        <v>0</v>
      </c>
      <c r="E28" s="20">
        <f t="shared" ref="E28" si="8">SUM(E24:E27)</f>
        <v>0</v>
      </c>
      <c r="F28" s="20">
        <f t="shared" ref="F28" si="9">SUM(F24:F27)</f>
        <v>0</v>
      </c>
      <c r="G28" s="14"/>
    </row>
    <row r="29" spans="1:7" ht="24.95" customHeight="1" x14ac:dyDescent="0.3">
      <c r="A29" s="58">
        <v>8</v>
      </c>
      <c r="B29" s="39"/>
      <c r="C29" s="9"/>
      <c r="D29" s="8"/>
      <c r="E29" s="8"/>
      <c r="F29" s="1">
        <f t="shared" ref="F29:F32" si="10">ROUND(D29-E29,-1)</f>
        <v>0</v>
      </c>
      <c r="G29" s="9"/>
    </row>
    <row r="30" spans="1:7" ht="24.95" customHeight="1" x14ac:dyDescent="0.3">
      <c r="A30" s="59"/>
      <c r="B30" s="39"/>
      <c r="C30" s="9"/>
      <c r="D30" s="8"/>
      <c r="E30" s="8"/>
      <c r="F30" s="1">
        <f t="shared" si="10"/>
        <v>0</v>
      </c>
      <c r="G30" s="9"/>
    </row>
    <row r="31" spans="1:7" ht="24.95" customHeight="1" x14ac:dyDescent="0.3">
      <c r="A31" s="59"/>
      <c r="B31" s="39"/>
      <c r="C31" s="9"/>
      <c r="D31" s="8"/>
      <c r="E31" s="8"/>
      <c r="F31" s="1">
        <f t="shared" si="10"/>
        <v>0</v>
      </c>
      <c r="G31" s="9"/>
    </row>
    <row r="32" spans="1:7" ht="24.95" customHeight="1" x14ac:dyDescent="0.3">
      <c r="A32" s="59"/>
      <c r="B32" s="39"/>
      <c r="C32" s="9"/>
      <c r="D32" s="8"/>
      <c r="E32" s="8"/>
      <c r="F32" s="1">
        <f t="shared" si="10"/>
        <v>0</v>
      </c>
      <c r="G32" s="9"/>
    </row>
    <row r="33" spans="1:7" ht="24.95" customHeight="1" x14ac:dyDescent="0.3">
      <c r="A33" s="60"/>
      <c r="B33" s="56" t="s">
        <v>32</v>
      </c>
      <c r="C33" s="57"/>
      <c r="D33" s="20">
        <f>SUM(D29:D32)</f>
        <v>0</v>
      </c>
      <c r="E33" s="20">
        <f t="shared" ref="E33" si="11">SUM(E29:E32)</f>
        <v>0</v>
      </c>
      <c r="F33" s="20">
        <f t="shared" ref="F33" si="12">SUM(F29:F32)</f>
        <v>0</v>
      </c>
      <c r="G33" s="14"/>
    </row>
    <row r="34" spans="1:7" ht="24.95" customHeight="1" x14ac:dyDescent="0.3">
      <c r="A34" s="58">
        <v>9</v>
      </c>
      <c r="B34" s="39"/>
      <c r="C34" s="9"/>
      <c r="D34" s="8"/>
      <c r="E34" s="8"/>
      <c r="F34" s="1">
        <f t="shared" ref="F34:F37" si="13">ROUND(D34-E34,-1)</f>
        <v>0</v>
      </c>
      <c r="G34" s="9"/>
    </row>
    <row r="35" spans="1:7" ht="24.95" customHeight="1" x14ac:dyDescent="0.3">
      <c r="A35" s="59"/>
      <c r="B35" s="39"/>
      <c r="C35" s="9"/>
      <c r="D35" s="8"/>
      <c r="E35" s="8"/>
      <c r="F35" s="1">
        <f t="shared" si="13"/>
        <v>0</v>
      </c>
      <c r="G35" s="9"/>
    </row>
    <row r="36" spans="1:7" ht="24.95" customHeight="1" x14ac:dyDescent="0.3">
      <c r="A36" s="59"/>
      <c r="B36" s="39"/>
      <c r="C36" s="9"/>
      <c r="D36" s="8"/>
      <c r="E36" s="8"/>
      <c r="F36" s="1">
        <f t="shared" si="13"/>
        <v>0</v>
      </c>
      <c r="G36" s="9"/>
    </row>
    <row r="37" spans="1:7" ht="24.95" customHeight="1" x14ac:dyDescent="0.3">
      <c r="A37" s="59"/>
      <c r="B37" s="39"/>
      <c r="C37" s="9"/>
      <c r="D37" s="8"/>
      <c r="E37" s="8"/>
      <c r="F37" s="1">
        <f t="shared" si="13"/>
        <v>0</v>
      </c>
      <c r="G37" s="9"/>
    </row>
    <row r="38" spans="1:7" ht="24.95" customHeight="1" x14ac:dyDescent="0.3">
      <c r="A38" s="60"/>
      <c r="B38" s="56" t="s">
        <v>32</v>
      </c>
      <c r="C38" s="57"/>
      <c r="D38" s="20">
        <f>SUM(D34:D37)</f>
        <v>0</v>
      </c>
      <c r="E38" s="20">
        <f t="shared" ref="E38" si="14">SUM(E34:E37)</f>
        <v>0</v>
      </c>
      <c r="F38" s="20">
        <f t="shared" ref="F38" si="15">SUM(F34:F37)</f>
        <v>0</v>
      </c>
      <c r="G38" s="14"/>
    </row>
    <row r="39" spans="1:7" ht="24.95" customHeight="1" x14ac:dyDescent="0.3">
      <c r="A39" s="58">
        <v>10</v>
      </c>
      <c r="B39" s="39"/>
      <c r="C39" s="9"/>
      <c r="D39" s="8"/>
      <c r="E39" s="8"/>
      <c r="F39" s="1">
        <f t="shared" ref="F39:F42" si="16">ROUND(D39-E39,-1)</f>
        <v>0</v>
      </c>
      <c r="G39" s="9"/>
    </row>
    <row r="40" spans="1:7" ht="24.95" customHeight="1" x14ac:dyDescent="0.3">
      <c r="A40" s="59"/>
      <c r="B40" s="39"/>
      <c r="C40" s="9"/>
      <c r="D40" s="8"/>
      <c r="E40" s="8"/>
      <c r="F40" s="1">
        <f t="shared" si="16"/>
        <v>0</v>
      </c>
      <c r="G40" s="9"/>
    </row>
    <row r="41" spans="1:7" ht="24.95" customHeight="1" x14ac:dyDescent="0.3">
      <c r="A41" s="59"/>
      <c r="B41" s="39"/>
      <c r="C41" s="9"/>
      <c r="D41" s="8"/>
      <c r="E41" s="8"/>
      <c r="F41" s="1">
        <f t="shared" si="16"/>
        <v>0</v>
      </c>
      <c r="G41" s="9"/>
    </row>
    <row r="42" spans="1:7" ht="24.95" customHeight="1" x14ac:dyDescent="0.3">
      <c r="A42" s="59"/>
      <c r="B42" s="39"/>
      <c r="C42" s="9"/>
      <c r="D42" s="8"/>
      <c r="E42" s="8"/>
      <c r="F42" s="1">
        <f t="shared" si="16"/>
        <v>0</v>
      </c>
      <c r="G42" s="9"/>
    </row>
    <row r="43" spans="1:7" ht="24.95" customHeight="1" x14ac:dyDescent="0.3">
      <c r="A43" s="60"/>
      <c r="B43" s="56" t="s">
        <v>32</v>
      </c>
      <c r="C43" s="57"/>
      <c r="D43" s="20">
        <f>SUM(D39:D42)</f>
        <v>0</v>
      </c>
      <c r="E43" s="20">
        <f t="shared" ref="E43" si="17">SUM(E39:E42)</f>
        <v>0</v>
      </c>
      <c r="F43" s="20">
        <f t="shared" ref="F43" si="18">SUM(F39:F42)</f>
        <v>0</v>
      </c>
      <c r="G43" s="14"/>
    </row>
    <row r="44" spans="1:7" ht="24.95" customHeight="1" x14ac:dyDescent="0.3">
      <c r="A44" s="58">
        <v>11</v>
      </c>
      <c r="B44" s="39"/>
      <c r="C44" s="9"/>
      <c r="D44" s="8"/>
      <c r="E44" s="8"/>
      <c r="F44" s="1">
        <f t="shared" ref="F44:F47" si="19">ROUND(D44-E44,-1)</f>
        <v>0</v>
      </c>
      <c r="G44" s="9"/>
    </row>
    <row r="45" spans="1:7" ht="24.95" customHeight="1" x14ac:dyDescent="0.3">
      <c r="A45" s="59"/>
      <c r="B45" s="39"/>
      <c r="C45" s="9"/>
      <c r="D45" s="8"/>
      <c r="E45" s="8"/>
      <c r="F45" s="1">
        <f t="shared" si="19"/>
        <v>0</v>
      </c>
      <c r="G45" s="9"/>
    </row>
    <row r="46" spans="1:7" ht="24.95" customHeight="1" x14ac:dyDescent="0.3">
      <c r="A46" s="59"/>
      <c r="B46" s="39"/>
      <c r="C46" s="9"/>
      <c r="D46" s="8"/>
      <c r="E46" s="8"/>
      <c r="F46" s="1">
        <f t="shared" si="19"/>
        <v>0</v>
      </c>
      <c r="G46" s="9"/>
    </row>
    <row r="47" spans="1:7" ht="24.95" customHeight="1" x14ac:dyDescent="0.3">
      <c r="A47" s="59"/>
      <c r="B47" s="39"/>
      <c r="C47" s="9"/>
      <c r="D47" s="8"/>
      <c r="E47" s="8"/>
      <c r="F47" s="1">
        <f t="shared" si="19"/>
        <v>0</v>
      </c>
      <c r="G47" s="9"/>
    </row>
    <row r="48" spans="1:7" ht="24.95" customHeight="1" x14ac:dyDescent="0.3">
      <c r="A48" s="60"/>
      <c r="B48" s="56" t="s">
        <v>32</v>
      </c>
      <c r="C48" s="57"/>
      <c r="D48" s="20">
        <f>SUM(D44:D47)</f>
        <v>0</v>
      </c>
      <c r="E48" s="20">
        <f t="shared" ref="E48" si="20">SUM(E44:E47)</f>
        <v>0</v>
      </c>
      <c r="F48" s="20">
        <f t="shared" ref="F48" si="21">SUM(F44:F47)</f>
        <v>0</v>
      </c>
      <c r="G48" s="14"/>
    </row>
    <row r="49" spans="1:7" ht="24.95" customHeight="1" x14ac:dyDescent="0.3">
      <c r="A49" s="58">
        <v>12</v>
      </c>
      <c r="B49" s="39"/>
      <c r="C49" s="9"/>
      <c r="D49" s="8"/>
      <c r="E49" s="8"/>
      <c r="F49" s="1">
        <f t="shared" ref="F49:F52" si="22">ROUND(D49-E49,-1)</f>
        <v>0</v>
      </c>
      <c r="G49" s="9"/>
    </row>
    <row r="50" spans="1:7" ht="24.95" customHeight="1" x14ac:dyDescent="0.3">
      <c r="A50" s="59"/>
      <c r="B50" s="39"/>
      <c r="C50" s="9"/>
      <c r="D50" s="8"/>
      <c r="E50" s="8"/>
      <c r="F50" s="1">
        <f t="shared" si="22"/>
        <v>0</v>
      </c>
      <c r="G50" s="9"/>
    </row>
    <row r="51" spans="1:7" ht="24.95" customHeight="1" x14ac:dyDescent="0.3">
      <c r="A51" s="59"/>
      <c r="B51" s="39"/>
      <c r="C51" s="9"/>
      <c r="D51" s="8"/>
      <c r="E51" s="8"/>
      <c r="F51" s="1">
        <f t="shared" si="22"/>
        <v>0</v>
      </c>
      <c r="G51" s="9"/>
    </row>
    <row r="52" spans="1:7" ht="24.95" customHeight="1" x14ac:dyDescent="0.3">
      <c r="A52" s="59"/>
      <c r="B52" s="39"/>
      <c r="C52" s="9"/>
      <c r="D52" s="8"/>
      <c r="E52" s="8"/>
      <c r="F52" s="1">
        <f t="shared" si="22"/>
        <v>0</v>
      </c>
      <c r="G52" s="9"/>
    </row>
    <row r="53" spans="1:7" ht="24.95" customHeight="1" x14ac:dyDescent="0.3">
      <c r="A53" s="60"/>
      <c r="B53" s="56" t="s">
        <v>32</v>
      </c>
      <c r="C53" s="57"/>
      <c r="D53" s="20">
        <f>SUM(D49:D52)</f>
        <v>0</v>
      </c>
      <c r="E53" s="20">
        <f t="shared" ref="E53" si="23">SUM(E49:E52)</f>
        <v>0</v>
      </c>
      <c r="F53" s="20">
        <f t="shared" ref="F53" si="24">SUM(F49:F52)</f>
        <v>0</v>
      </c>
      <c r="G53" s="14"/>
    </row>
    <row r="54" spans="1:7" ht="24.95" customHeight="1" x14ac:dyDescent="0.3">
      <c r="A54" s="58">
        <v>13</v>
      </c>
      <c r="B54" s="39"/>
      <c r="C54" s="9"/>
      <c r="D54" s="8"/>
      <c r="E54" s="8"/>
      <c r="F54" s="1">
        <f t="shared" ref="F54:F57" si="25">ROUND(D54-E54,-1)</f>
        <v>0</v>
      </c>
      <c r="G54" s="9"/>
    </row>
    <row r="55" spans="1:7" ht="24.95" customHeight="1" x14ac:dyDescent="0.3">
      <c r="A55" s="59"/>
      <c r="B55" s="39"/>
      <c r="C55" s="9"/>
      <c r="D55" s="8"/>
      <c r="E55" s="8"/>
      <c r="F55" s="1">
        <f t="shared" si="25"/>
        <v>0</v>
      </c>
      <c r="G55" s="9"/>
    </row>
    <row r="56" spans="1:7" ht="24.95" customHeight="1" x14ac:dyDescent="0.3">
      <c r="A56" s="59"/>
      <c r="B56" s="39"/>
      <c r="C56" s="9"/>
      <c r="D56" s="8"/>
      <c r="E56" s="8"/>
      <c r="F56" s="1">
        <f t="shared" si="25"/>
        <v>0</v>
      </c>
      <c r="G56" s="9"/>
    </row>
    <row r="57" spans="1:7" ht="24.95" customHeight="1" x14ac:dyDescent="0.3">
      <c r="A57" s="59"/>
      <c r="B57" s="39"/>
      <c r="C57" s="9"/>
      <c r="D57" s="8"/>
      <c r="E57" s="8"/>
      <c r="F57" s="1">
        <f t="shared" si="25"/>
        <v>0</v>
      </c>
      <c r="G57" s="9"/>
    </row>
    <row r="58" spans="1:7" ht="24.95" customHeight="1" x14ac:dyDescent="0.3">
      <c r="A58" s="60"/>
      <c r="B58" s="56" t="s">
        <v>32</v>
      </c>
      <c r="C58" s="57"/>
      <c r="D58" s="20">
        <f>SUM(D54:D57)</f>
        <v>0</v>
      </c>
      <c r="E58" s="20">
        <f t="shared" ref="E58" si="26">SUM(E54:E57)</f>
        <v>0</v>
      </c>
      <c r="F58" s="20">
        <f t="shared" ref="F58" si="27">SUM(F54:F57)</f>
        <v>0</v>
      </c>
      <c r="G58" s="14"/>
    </row>
    <row r="59" spans="1:7" ht="24.95" customHeight="1" x14ac:dyDescent="0.3">
      <c r="A59" s="58">
        <v>14</v>
      </c>
      <c r="B59" s="39"/>
      <c r="C59" s="9"/>
      <c r="D59" s="8"/>
      <c r="E59" s="8"/>
      <c r="F59" s="1">
        <f t="shared" ref="F59:F62" si="28">ROUND(D59-E59,-1)</f>
        <v>0</v>
      </c>
      <c r="G59" s="9"/>
    </row>
    <row r="60" spans="1:7" ht="24.95" customHeight="1" x14ac:dyDescent="0.3">
      <c r="A60" s="59"/>
      <c r="B60" s="39"/>
      <c r="C60" s="9"/>
      <c r="D60" s="8"/>
      <c r="E60" s="8"/>
      <c r="F60" s="1">
        <f t="shared" si="28"/>
        <v>0</v>
      </c>
      <c r="G60" s="9"/>
    </row>
    <row r="61" spans="1:7" ht="24.95" customHeight="1" x14ac:dyDescent="0.3">
      <c r="A61" s="59"/>
      <c r="B61" s="39"/>
      <c r="C61" s="9"/>
      <c r="D61" s="8"/>
      <c r="E61" s="8"/>
      <c r="F61" s="1">
        <f t="shared" si="28"/>
        <v>0</v>
      </c>
      <c r="G61" s="9"/>
    </row>
    <row r="62" spans="1:7" ht="24.95" customHeight="1" x14ac:dyDescent="0.3">
      <c r="A62" s="59"/>
      <c r="B62" s="39"/>
      <c r="C62" s="9"/>
      <c r="D62" s="8"/>
      <c r="E62" s="8"/>
      <c r="F62" s="1">
        <f t="shared" si="28"/>
        <v>0</v>
      </c>
      <c r="G62" s="9"/>
    </row>
    <row r="63" spans="1:7" ht="27" customHeight="1" x14ac:dyDescent="0.3">
      <c r="A63" s="60"/>
      <c r="B63" s="56" t="s">
        <v>32</v>
      </c>
      <c r="C63" s="57"/>
      <c r="D63" s="20">
        <f>SUM(D59:D62)</f>
        <v>0</v>
      </c>
      <c r="E63" s="20">
        <f t="shared" ref="E63" si="29">SUM(E59:E62)</f>
        <v>0</v>
      </c>
      <c r="F63" s="20">
        <f t="shared" ref="F63" si="30">SUM(F59:F62)</f>
        <v>0</v>
      </c>
      <c r="G63" s="14" t="s">
        <v>38</v>
      </c>
    </row>
    <row r="64" spans="1:7" ht="30" customHeight="1" x14ac:dyDescent="0.3">
      <c r="A64" s="61" t="s">
        <v>34</v>
      </c>
      <c r="B64" s="62"/>
      <c r="C64" s="63"/>
      <c r="D64" s="20">
        <f>SUM(D8,D13,D18,D23,D28,D33,D38,D43,D48,D53,D58,D63)</f>
        <v>29880000</v>
      </c>
      <c r="E64" s="20">
        <f t="shared" ref="E64:F64" si="31">SUM(E8,E13,E18,E23,E28,E33,E38,E43,E48,E53,E58,E63)</f>
        <v>382000</v>
      </c>
      <c r="F64" s="20">
        <f t="shared" si="31"/>
        <v>29498000</v>
      </c>
      <c r="G64" s="4"/>
    </row>
    <row r="65" spans="1:7" ht="35.1" customHeight="1" x14ac:dyDescent="0.3">
      <c r="A65" s="71" t="s">
        <v>7</v>
      </c>
      <c r="B65" s="64"/>
      <c r="C65" s="65"/>
      <c r="D65" s="66"/>
      <c r="E65" s="7" t="s">
        <v>2</v>
      </c>
      <c r="F65" s="73"/>
      <c r="G65" s="73"/>
    </row>
    <row r="66" spans="1:7" ht="35.1" customHeight="1" x14ac:dyDescent="0.3">
      <c r="A66" s="72"/>
      <c r="B66" s="64"/>
      <c r="C66" s="66"/>
      <c r="D66" s="5" t="s">
        <v>8</v>
      </c>
      <c r="E66" s="6" t="s">
        <v>1</v>
      </c>
      <c r="F66" s="73"/>
      <c r="G66" s="73"/>
    </row>
  </sheetData>
  <mergeCells count="32">
    <mergeCell ref="A14:A18"/>
    <mergeCell ref="B65:D65"/>
    <mergeCell ref="B66:C66"/>
    <mergeCell ref="A1:G1"/>
    <mergeCell ref="A4:A8"/>
    <mergeCell ref="A9:A13"/>
    <mergeCell ref="A64:C64"/>
    <mergeCell ref="A65:A66"/>
    <mergeCell ref="F65:G65"/>
    <mergeCell ref="F66:G66"/>
    <mergeCell ref="A19:A23"/>
    <mergeCell ref="A24:A28"/>
    <mergeCell ref="A29:A33"/>
    <mergeCell ref="A34:A38"/>
    <mergeCell ref="A39:A43"/>
    <mergeCell ref="B28:C28"/>
    <mergeCell ref="B33:C33"/>
    <mergeCell ref="B38:C38"/>
    <mergeCell ref="B43:C43"/>
    <mergeCell ref="B2:G2"/>
    <mergeCell ref="B8:C8"/>
    <mergeCell ref="B13:C13"/>
    <mergeCell ref="B18:C18"/>
    <mergeCell ref="B23:C23"/>
    <mergeCell ref="B63:C63"/>
    <mergeCell ref="A44:A48"/>
    <mergeCell ref="A49:A53"/>
    <mergeCell ref="A54:A58"/>
    <mergeCell ref="A59:A63"/>
    <mergeCell ref="B53:C53"/>
    <mergeCell ref="B58:C58"/>
    <mergeCell ref="B48:C4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지급확인서</vt:lpstr>
      <vt:lpstr>지급내역서</vt:lpstr>
      <vt:lpstr>지급확인서!Print_Titles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</dc:creator>
  <cp:lastModifiedBy>user</cp:lastModifiedBy>
  <cp:lastPrinted>2018-12-06T02:47:34Z</cp:lastPrinted>
  <dcterms:created xsi:type="dcterms:W3CDTF">2015-11-25T01:57:00Z</dcterms:created>
  <dcterms:modified xsi:type="dcterms:W3CDTF">2026-01-05T04:46:55Z</dcterms:modified>
</cp:coreProperties>
</file>