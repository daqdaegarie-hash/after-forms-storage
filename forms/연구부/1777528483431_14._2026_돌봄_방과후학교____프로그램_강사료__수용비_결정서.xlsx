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756D34-96BC-4171-B803-23C7DB66FE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수강료결정서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D9" i="5" l="1"/>
  <c r="F9" i="5" s="1"/>
  <c r="D21" i="5"/>
  <c r="F21" i="5" s="1"/>
  <c r="D33" i="5"/>
  <c r="F33" i="5" s="1"/>
  <c r="D45" i="5"/>
  <c r="F45" i="5" s="1"/>
  <c r="D57" i="5"/>
  <c r="F57" i="5" s="1"/>
  <c r="D10" i="5"/>
  <c r="F10" i="5" s="1"/>
  <c r="D22" i="5"/>
  <c r="F22" i="5" s="1"/>
  <c r="I22" i="5" s="1"/>
  <c r="D34" i="5"/>
  <c r="F34" i="5" s="1"/>
  <c r="D46" i="5"/>
  <c r="F46" i="5" s="1"/>
  <c r="D58" i="5"/>
  <c r="F58" i="5" s="1"/>
  <c r="D11" i="5"/>
  <c r="F11" i="5" s="1"/>
  <c r="M11" i="5" s="1"/>
  <c r="N11" i="5" s="1"/>
  <c r="D23" i="5"/>
  <c r="F23" i="5" s="1"/>
  <c r="D35" i="5"/>
  <c r="F35" i="5" s="1"/>
  <c r="D59" i="5"/>
  <c r="F59" i="5" s="1"/>
  <c r="D12" i="5"/>
  <c r="F12" i="5" s="1"/>
  <c r="D24" i="5"/>
  <c r="F24" i="5" s="1"/>
  <c r="D36" i="5"/>
  <c r="F36" i="5" s="1"/>
  <c r="D48" i="5"/>
  <c r="F48" i="5" s="1"/>
  <c r="D60" i="5"/>
  <c r="F60" i="5" s="1"/>
  <c r="D13" i="5"/>
  <c r="F13" i="5" s="1"/>
  <c r="M13" i="5" s="1"/>
  <c r="N13" i="5" s="1"/>
  <c r="D25" i="5"/>
  <c r="F25" i="5" s="1"/>
  <c r="M25" i="5" s="1"/>
  <c r="N25" i="5" s="1"/>
  <c r="D37" i="5"/>
  <c r="F37" i="5" s="1"/>
  <c r="D49" i="5"/>
  <c r="F49" i="5" s="1"/>
  <c r="D61" i="5"/>
  <c r="F61" i="5" s="1"/>
  <c r="D14" i="5"/>
  <c r="F14" i="5" s="1"/>
  <c r="D26" i="5"/>
  <c r="F26" i="5" s="1"/>
  <c r="D38" i="5"/>
  <c r="F38" i="5" s="1"/>
  <c r="D50" i="5"/>
  <c r="F50" i="5" s="1"/>
  <c r="D62" i="5"/>
  <c r="F62" i="5" s="1"/>
  <c r="D6" i="5"/>
  <c r="F6" i="5" s="1"/>
  <c r="J6" i="5" s="1"/>
  <c r="K6" i="5" s="1"/>
  <c r="D15" i="5"/>
  <c r="F15" i="5" s="1"/>
  <c r="M15" i="5" s="1"/>
  <c r="N15" i="5" s="1"/>
  <c r="D27" i="5"/>
  <c r="F27" i="5" s="1"/>
  <c r="J27" i="5" s="1"/>
  <c r="K27" i="5" s="1"/>
  <c r="D39" i="5"/>
  <c r="F39" i="5" s="1"/>
  <c r="D51" i="5"/>
  <c r="F51" i="5" s="1"/>
  <c r="D63" i="5"/>
  <c r="F63" i="5" s="1"/>
  <c r="D16" i="5"/>
  <c r="F16" i="5" s="1"/>
  <c r="M16" i="5" s="1"/>
  <c r="N16" i="5" s="1"/>
  <c r="D28" i="5"/>
  <c r="F28" i="5" s="1"/>
  <c r="D40" i="5"/>
  <c r="F40" i="5" s="1"/>
  <c r="D52" i="5"/>
  <c r="F52" i="5" s="1"/>
  <c r="D64" i="5"/>
  <c r="F64" i="5" s="1"/>
  <c r="D29" i="5"/>
  <c r="F29" i="5" s="1"/>
  <c r="D41" i="5"/>
  <c r="F41" i="5" s="1"/>
  <c r="D53" i="5"/>
  <c r="F53" i="5" s="1"/>
  <c r="D17" i="5"/>
  <c r="F17" i="5" s="1"/>
  <c r="M17" i="5" s="1"/>
  <c r="N17" i="5" s="1"/>
  <c r="D18" i="5"/>
  <c r="F18" i="5" s="1"/>
  <c r="D30" i="5"/>
  <c r="F30" i="5" s="1"/>
  <c r="D42" i="5"/>
  <c r="F42" i="5" s="1"/>
  <c r="D54" i="5"/>
  <c r="F54" i="5" s="1"/>
  <c r="D7" i="5"/>
  <c r="F7" i="5" s="1"/>
  <c r="D19" i="5"/>
  <c r="F19" i="5" s="1"/>
  <c r="D31" i="5"/>
  <c r="F31" i="5" s="1"/>
  <c r="D43" i="5"/>
  <c r="F43" i="5" s="1"/>
  <c r="D55" i="5"/>
  <c r="F55" i="5" s="1"/>
  <c r="D8" i="5"/>
  <c r="F8" i="5" s="1"/>
  <c r="M8" i="5" s="1"/>
  <c r="N8" i="5" s="1"/>
  <c r="D20" i="5"/>
  <c r="F20" i="5" s="1"/>
  <c r="D32" i="5"/>
  <c r="F32" i="5" s="1"/>
  <c r="D44" i="5"/>
  <c r="F44" i="5" s="1"/>
  <c r="D56" i="5"/>
  <c r="F56" i="5" s="1"/>
  <c r="D47" i="5"/>
  <c r="F47" i="5" s="1"/>
  <c r="I7" i="5"/>
  <c r="M19" i="5"/>
  <c r="N19" i="5" s="1"/>
  <c r="M12" i="5"/>
  <c r="N12" i="5" s="1"/>
  <c r="M20" i="5"/>
  <c r="N20" i="5" s="1"/>
  <c r="M24" i="5"/>
  <c r="N24" i="5" s="1"/>
  <c r="M64" i="5"/>
  <c r="N64" i="5" s="1"/>
  <c r="M9" i="5"/>
  <c r="N9" i="5" s="1"/>
  <c r="M21" i="5"/>
  <c r="N21" i="5" s="1"/>
  <c r="I14" i="5"/>
  <c r="J9" i="5"/>
  <c r="K9" i="5" s="1"/>
  <c r="J23" i="5"/>
  <c r="K23" i="5" s="1"/>
  <c r="I26" i="5"/>
  <c r="I9" i="5"/>
  <c r="M54" i="5" l="1"/>
  <c r="N54" i="5" s="1"/>
  <c r="I54" i="5"/>
  <c r="J54" i="5"/>
  <c r="K54" i="5" s="1"/>
  <c r="I61" i="5"/>
  <c r="J61" i="5"/>
  <c r="K61" i="5" s="1"/>
  <c r="M61" i="5"/>
  <c r="N61" i="5" s="1"/>
  <c r="I47" i="5"/>
  <c r="J47" i="5"/>
  <c r="K47" i="5" s="1"/>
  <c r="M47" i="5"/>
  <c r="N47" i="5" s="1"/>
  <c r="I42" i="5"/>
  <c r="M42" i="5"/>
  <c r="N42" i="5" s="1"/>
  <c r="J42" i="5"/>
  <c r="K42" i="5" s="1"/>
  <c r="J63" i="5"/>
  <c r="K63" i="5" s="1"/>
  <c r="I63" i="5"/>
  <c r="M63" i="5"/>
  <c r="N63" i="5" s="1"/>
  <c r="I49" i="5"/>
  <c r="J49" i="5"/>
  <c r="K49" i="5" s="1"/>
  <c r="M49" i="5"/>
  <c r="N49" i="5" s="1"/>
  <c r="J56" i="5"/>
  <c r="K56" i="5" s="1"/>
  <c r="M56" i="5"/>
  <c r="N56" i="5" s="1"/>
  <c r="I56" i="5"/>
  <c r="M30" i="5"/>
  <c r="N30" i="5" s="1"/>
  <c r="I30" i="5"/>
  <c r="J30" i="5"/>
  <c r="K30" i="5" s="1"/>
  <c r="J51" i="5"/>
  <c r="K51" i="5" s="1"/>
  <c r="M51" i="5"/>
  <c r="N51" i="5" s="1"/>
  <c r="I51" i="5"/>
  <c r="M37" i="5"/>
  <c r="N37" i="5" s="1"/>
  <c r="I37" i="5"/>
  <c r="J37" i="5"/>
  <c r="K37" i="5" s="1"/>
  <c r="I58" i="5"/>
  <c r="J58" i="5"/>
  <c r="K58" i="5" s="1"/>
  <c r="M58" i="5"/>
  <c r="N58" i="5" s="1"/>
  <c r="M53" i="5"/>
  <c r="N53" i="5" s="1"/>
  <c r="I53" i="5"/>
  <c r="J53" i="5"/>
  <c r="K53" i="5" s="1"/>
  <c r="M44" i="5"/>
  <c r="N44" i="5" s="1"/>
  <c r="I44" i="5"/>
  <c r="J44" i="5"/>
  <c r="K44" i="5" s="1"/>
  <c r="J39" i="5"/>
  <c r="K39" i="5" s="1"/>
  <c r="I39" i="5"/>
  <c r="M39" i="5"/>
  <c r="N39" i="5" s="1"/>
  <c r="I46" i="5"/>
  <c r="J46" i="5"/>
  <c r="K46" i="5" s="1"/>
  <c r="M46" i="5"/>
  <c r="N46" i="5" s="1"/>
  <c r="J32" i="5"/>
  <c r="K32" i="5" s="1"/>
  <c r="M32" i="5"/>
  <c r="N32" i="5" s="1"/>
  <c r="I32" i="5"/>
  <c r="I60" i="5"/>
  <c r="M60" i="5"/>
  <c r="N60" i="5" s="1"/>
  <c r="J60" i="5"/>
  <c r="K60" i="5" s="1"/>
  <c r="J48" i="5"/>
  <c r="K48" i="5"/>
  <c r="I48" i="5"/>
  <c r="M48" i="5"/>
  <c r="N48" i="5" s="1"/>
  <c r="M29" i="5"/>
  <c r="N29" i="5" s="1"/>
  <c r="I29" i="5"/>
  <c r="J29" i="5"/>
  <c r="K29" i="5" s="1"/>
  <c r="M62" i="5"/>
  <c r="N62" i="5" s="1"/>
  <c r="I62" i="5"/>
  <c r="J62" i="5"/>
  <c r="K62" i="5" s="1"/>
  <c r="I36" i="5"/>
  <c r="J36" i="5"/>
  <c r="K36" i="5" s="1"/>
  <c r="M36" i="5"/>
  <c r="N36" i="5" s="1"/>
  <c r="J57" i="5"/>
  <c r="K57" i="5" s="1"/>
  <c r="M57" i="5"/>
  <c r="N57" i="5" s="1"/>
  <c r="I57" i="5"/>
  <c r="M41" i="5"/>
  <c r="N41" i="5" s="1"/>
  <c r="I41" i="5"/>
  <c r="J41" i="5"/>
  <c r="K41" i="5" s="1"/>
  <c r="M55" i="5"/>
  <c r="N55" i="5" s="1"/>
  <c r="I55" i="5"/>
  <c r="J55" i="5"/>
  <c r="K55" i="5" s="1"/>
  <c r="J43" i="5"/>
  <c r="K43" i="5" s="1"/>
  <c r="M43" i="5"/>
  <c r="N43" i="5" s="1"/>
  <c r="I43" i="5"/>
  <c r="I50" i="5"/>
  <c r="M50" i="5"/>
  <c r="N50" i="5" s="1"/>
  <c r="J50" i="5"/>
  <c r="K50" i="5" s="1"/>
  <c r="M45" i="5"/>
  <c r="N45" i="5" s="1"/>
  <c r="I45" i="5"/>
  <c r="J45" i="5"/>
  <c r="K45" i="5" s="1"/>
  <c r="I34" i="5"/>
  <c r="J34" i="5"/>
  <c r="K34" i="5" s="1"/>
  <c r="M34" i="5"/>
  <c r="N34" i="5" s="1"/>
  <c r="M31" i="5"/>
  <c r="N31" i="5" s="1"/>
  <c r="I31" i="5"/>
  <c r="J31" i="5"/>
  <c r="K31" i="5" s="1"/>
  <c r="M52" i="5"/>
  <c r="N52" i="5" s="1"/>
  <c r="I52" i="5"/>
  <c r="J52" i="5"/>
  <c r="K52" i="5" s="1"/>
  <c r="M38" i="5"/>
  <c r="N38" i="5" s="1"/>
  <c r="I38" i="5"/>
  <c r="J38" i="5"/>
  <c r="K38" i="5" s="1"/>
  <c r="J33" i="5"/>
  <c r="K33" i="5" s="1"/>
  <c r="M33" i="5"/>
  <c r="N33" i="5" s="1"/>
  <c r="I33" i="5"/>
  <c r="M40" i="5"/>
  <c r="N40" i="5" s="1"/>
  <c r="I40" i="5"/>
  <c r="J40" i="5"/>
  <c r="K40" i="5" s="1"/>
  <c r="M59" i="5"/>
  <c r="N59" i="5" s="1"/>
  <c r="I59" i="5"/>
  <c r="J59" i="5"/>
  <c r="K59" i="5" s="1"/>
  <c r="M28" i="5"/>
  <c r="N28" i="5" s="1"/>
  <c r="I28" i="5"/>
  <c r="J28" i="5"/>
  <c r="K28" i="5" s="1"/>
  <c r="I35" i="5"/>
  <c r="J35" i="5"/>
  <c r="K35" i="5" s="1"/>
  <c r="M35" i="5"/>
  <c r="N35" i="5" s="1"/>
  <c r="M6" i="5"/>
  <c r="N6" i="5" s="1"/>
  <c r="J17" i="5"/>
  <c r="K17" i="5" s="1"/>
  <c r="J13" i="5"/>
  <c r="K13" i="5" s="1"/>
  <c r="I17" i="5"/>
  <c r="M26" i="5"/>
  <c r="N26" i="5" s="1"/>
  <c r="J26" i="5"/>
  <c r="K26" i="5" s="1"/>
  <c r="M10" i="5"/>
  <c r="N10" i="5" s="1"/>
  <c r="J10" i="5"/>
  <c r="K10" i="5" s="1"/>
  <c r="I13" i="5"/>
  <c r="M22" i="5"/>
  <c r="N22" i="5" s="1"/>
  <c r="J22" i="5"/>
  <c r="K22" i="5" s="1"/>
  <c r="M7" i="5"/>
  <c r="N7" i="5" s="1"/>
  <c r="J7" i="5"/>
  <c r="K7" i="5" s="1"/>
  <c r="M18" i="5"/>
  <c r="N18" i="5" s="1"/>
  <c r="J18" i="5"/>
  <c r="K18" i="5" s="1"/>
  <c r="M27" i="5"/>
  <c r="N27" i="5" s="1"/>
  <c r="I27" i="5"/>
  <c r="I18" i="5"/>
  <c r="I10" i="5"/>
  <c r="I6" i="5"/>
  <c r="M14" i="5"/>
  <c r="N14" i="5" s="1"/>
  <c r="J14" i="5"/>
  <c r="K14" i="5" s="1"/>
  <c r="M23" i="5"/>
  <c r="N23" i="5" s="1"/>
  <c r="I23" i="5"/>
  <c r="J12" i="5"/>
  <c r="K12" i="5" s="1"/>
  <c r="I12" i="5"/>
  <c r="J25" i="5"/>
  <c r="K25" i="5" s="1"/>
  <c r="I25" i="5"/>
  <c r="J8" i="5"/>
  <c r="K8" i="5" s="1"/>
  <c r="I8" i="5"/>
  <c r="I20" i="5"/>
  <c r="J20" i="5"/>
  <c r="K20" i="5" s="1"/>
  <c r="I11" i="5"/>
  <c r="J11" i="5"/>
  <c r="K11" i="5" s="1"/>
  <c r="J16" i="5"/>
  <c r="K16" i="5" s="1"/>
  <c r="I16" i="5"/>
  <c r="I21" i="5"/>
  <c r="J21" i="5"/>
  <c r="K21" i="5" s="1"/>
  <c r="I15" i="5"/>
  <c r="J15" i="5"/>
  <c r="K15" i="5" s="1"/>
  <c r="I64" i="5"/>
  <c r="J64" i="5"/>
  <c r="K64" i="5" s="1"/>
  <c r="I19" i="5"/>
  <c r="J19" i="5"/>
  <c r="K19" i="5" s="1"/>
  <c r="J24" i="5"/>
  <c r="K24" i="5" s="1"/>
  <c r="I24" i="5"/>
  <c r="I65" i="5" l="1"/>
</calcChain>
</file>

<file path=xl/sharedStrings.xml><?xml version="1.0" encoding="utf-8"?>
<sst xmlns="http://schemas.openxmlformats.org/spreadsheetml/2006/main" count="27" uniqueCount="27">
  <si>
    <t>개월</t>
    <phoneticPr fontId="2" type="noConversion"/>
  </si>
  <si>
    <t>인원</t>
    <phoneticPr fontId="2" type="noConversion"/>
  </si>
  <si>
    <t>순</t>
    <phoneticPr fontId="2" type="noConversion"/>
  </si>
  <si>
    <t>낙찰율</t>
    <phoneticPr fontId="2" type="noConversion"/>
  </si>
  <si>
    <t>기초금액</t>
    <phoneticPr fontId="2" type="noConversion"/>
  </si>
  <si>
    <t>수용비
최대금액</t>
    <phoneticPr fontId="2" type="noConversion"/>
  </si>
  <si>
    <t>수용비
결정액</t>
    <phoneticPr fontId="2" type="noConversion"/>
  </si>
  <si>
    <t>기초금액 대비 낙찰율</t>
    <phoneticPr fontId="2" type="noConversion"/>
  </si>
  <si>
    <t>강사료 대비 수용비비율(최대)</t>
    <phoneticPr fontId="2" type="noConversion"/>
  </si>
  <si>
    <t>수용비합산
최대단가</t>
    <phoneticPr fontId="2" type="noConversion"/>
  </si>
  <si>
    <t>강사료대비 실수용비율</t>
    <phoneticPr fontId="2" type="noConversion"/>
  </si>
  <si>
    <t>합계(계약금액)</t>
    <phoneticPr fontId="2" type="noConversion"/>
  </si>
  <si>
    <t>수강료(강사료+수용비) 결정액</t>
    <phoneticPr fontId="2" type="noConversion"/>
  </si>
  <si>
    <t>낙찰금액
(계약금액)</t>
    <phoneticPr fontId="2" type="noConversion"/>
  </si>
  <si>
    <t>강좌명</t>
    <phoneticPr fontId="2" type="noConversion"/>
  </si>
  <si>
    <t>강좌별
계약 단가</t>
    <phoneticPr fontId="2" type="noConversion"/>
  </si>
  <si>
    <t>기초금액
반영 단가</t>
    <phoneticPr fontId="2" type="noConversion"/>
  </si>
  <si>
    <t>강좌별 총액</t>
    <phoneticPr fontId="2" type="noConversion"/>
  </si>
  <si>
    <t xml:space="preserve"> ※ 강좌별 총액의 합계가 낙찰금액을 초과하면 안됩니다.</t>
    <phoneticPr fontId="2" type="noConversion"/>
  </si>
  <si>
    <t>○○초등학교</t>
    <phoneticPr fontId="2" type="noConversion"/>
  </si>
  <si>
    <t>영어</t>
    <phoneticPr fontId="2" type="noConversion"/>
  </si>
  <si>
    <t>수학</t>
    <phoneticPr fontId="2" type="noConversion"/>
  </si>
  <si>
    <t>음악</t>
    <phoneticPr fontId="2" type="noConversion"/>
  </si>
  <si>
    <t>기초금액대비
낙찰율적용단가</t>
    <phoneticPr fontId="2" type="noConversion"/>
  </si>
  <si>
    <t>업체
보정금액</t>
    <phoneticPr fontId="2" type="noConversion"/>
  </si>
  <si>
    <t xml:space="preserve"> ※ 업체보정금액은 강좌별 기초금액대비 낙찰율 적용단가에 대해 100원 미만에서 조정 가능</t>
    <phoneticPr fontId="2" type="noConversion"/>
  </si>
  <si>
    <t>20○○학년도  돌봄·방과후학교 ○○ 프로그램 운영계약 수강료 결정서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</si>
</sst>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00%"/>
    <numFmt numFmtId="177" formatCode="#,##0_ "/>
    <numFmt numFmtId="178" formatCode="#,##0_);[Red]\(#,##0\)"/>
    <numFmt numFmtId="179" formatCode="#,##0.00_ "/>
    <numFmt numFmtId="180" formatCode="0.000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>
      <alignment vertical="center"/>
    </xf>
    <xf numFmtId="0" fontId="5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7" fontId="0" fillId="2" borderId="1" xfId="0" applyNumberFormat="1" applyFon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178" fontId="3" fillId="2" borderId="1" xfId="0" applyNumberFormat="1" applyFont="1" applyFill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179" fontId="3" fillId="0" borderId="1" xfId="0" applyNumberFormat="1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right" vertical="center"/>
    </xf>
    <xf numFmtId="178" fontId="3" fillId="2" borderId="1" xfId="1" applyNumberFormat="1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zoomScaleNormal="100" workbookViewId="0">
      <selection sqref="A1:N1"/>
    </sheetView>
  </sheetViews>
  <sheetFormatPr defaultRowHeight="16.5" x14ac:dyDescent="0.3"/>
  <cols>
    <col min="1" max="1" width="4" customWidth="1"/>
    <col min="2" max="2" width="17.25" customWidth="1"/>
    <col min="3" max="5" width="10.625" customWidth="1"/>
    <col min="6" max="7" width="11.875" customWidth="1"/>
    <col min="8" max="8" width="9.75" customWidth="1"/>
    <col min="9" max="9" width="13.75" customWidth="1"/>
    <col min="10" max="10" width="12.125" customWidth="1"/>
    <col min="11" max="11" width="11.5" customWidth="1"/>
    <col min="12" max="12" width="12.25" customWidth="1"/>
    <col min="14" max="14" width="11.875" customWidth="1"/>
  </cols>
  <sheetData>
    <row r="1" spans="1:14" ht="34.5" customHeight="1" x14ac:dyDescent="0.3">
      <c r="A1" s="26" t="s">
        <v>26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34.5" customHeight="1" x14ac:dyDescent="0.3">
      <c r="A2" s="40" t="s">
        <v>7</v>
      </c>
      <c r="B2" s="41"/>
      <c r="C2" s="41"/>
      <c r="D2" s="41"/>
      <c r="E2" s="42"/>
      <c r="F2" s="4" t="s">
        <v>4</v>
      </c>
      <c r="G2" s="19" t="s">
        <v>13</v>
      </c>
      <c r="H2" s="13" t="s">
        <v>3</v>
      </c>
      <c r="I2" s="34" t="s">
        <v>19</v>
      </c>
      <c r="J2" s="35"/>
      <c r="K2" s="35"/>
      <c r="L2" s="35"/>
      <c r="M2" s="35"/>
      <c r="N2" s="36"/>
    </row>
    <row r="3" spans="1:14" ht="21.75" customHeight="1" x14ac:dyDescent="0.3">
      <c r="A3" s="43"/>
      <c r="B3" s="44"/>
      <c r="C3" s="44"/>
      <c r="D3" s="44"/>
      <c r="E3" s="45"/>
      <c r="F3" s="15">
        <v>130000000</v>
      </c>
      <c r="G3" s="15">
        <v>117000000</v>
      </c>
      <c r="H3" s="23">
        <f>G3/F3</f>
        <v>0.9</v>
      </c>
      <c r="I3" s="31" t="s">
        <v>18</v>
      </c>
      <c r="J3" s="32"/>
      <c r="K3" s="32"/>
      <c r="L3" s="32"/>
      <c r="M3" s="32"/>
      <c r="N3" s="33"/>
    </row>
    <row r="4" spans="1:14" ht="19.5" customHeight="1" x14ac:dyDescent="0.3">
      <c r="A4" s="46" t="s">
        <v>8</v>
      </c>
      <c r="B4" s="47"/>
      <c r="C4" s="47"/>
      <c r="D4" s="47"/>
      <c r="E4" s="48"/>
      <c r="F4" s="30">
        <v>0.05</v>
      </c>
      <c r="G4" s="30"/>
      <c r="H4" s="30"/>
      <c r="I4" s="37" t="s">
        <v>25</v>
      </c>
      <c r="J4" s="38"/>
      <c r="K4" s="38"/>
      <c r="L4" s="38"/>
      <c r="M4" s="38"/>
      <c r="N4" s="39"/>
    </row>
    <row r="5" spans="1:14" ht="39.75" customHeight="1" x14ac:dyDescent="0.3">
      <c r="A5" s="1" t="s">
        <v>2</v>
      </c>
      <c r="B5" s="1" t="s">
        <v>14</v>
      </c>
      <c r="C5" s="5" t="s">
        <v>16</v>
      </c>
      <c r="D5" s="24" t="s">
        <v>23</v>
      </c>
      <c r="E5" s="5" t="s">
        <v>24</v>
      </c>
      <c r="F5" s="5" t="s">
        <v>15</v>
      </c>
      <c r="G5" s="1" t="s">
        <v>1</v>
      </c>
      <c r="H5" s="1" t="s">
        <v>0</v>
      </c>
      <c r="I5" s="1" t="s">
        <v>17</v>
      </c>
      <c r="J5" s="5" t="s">
        <v>5</v>
      </c>
      <c r="K5" s="12" t="s">
        <v>9</v>
      </c>
      <c r="L5" s="17" t="s">
        <v>12</v>
      </c>
      <c r="M5" s="5" t="s">
        <v>6</v>
      </c>
      <c r="N5" s="5" t="s">
        <v>10</v>
      </c>
    </row>
    <row r="6" spans="1:14" x14ac:dyDescent="0.3">
      <c r="A6" s="6">
        <v>1</v>
      </c>
      <c r="B6" s="22" t="s">
        <v>20</v>
      </c>
      <c r="C6" s="20">
        <v>50000</v>
      </c>
      <c r="D6" s="25">
        <f>C6*$H$3</f>
        <v>45000</v>
      </c>
      <c r="E6" s="20">
        <v>0</v>
      </c>
      <c r="F6" s="7">
        <f>D6+E6</f>
        <v>45000</v>
      </c>
      <c r="G6" s="21">
        <v>100</v>
      </c>
      <c r="H6" s="16">
        <v>10</v>
      </c>
      <c r="I6" s="7">
        <f>F6*G6*H6</f>
        <v>45000000</v>
      </c>
      <c r="J6" s="9">
        <f t="shared" ref="J6:J27" si="0">ROUNDDOWN(F6*$F$4, -1)</f>
        <v>2250</v>
      </c>
      <c r="K6" s="9">
        <f>F6+J6</f>
        <v>47250</v>
      </c>
      <c r="L6" s="14">
        <v>47100</v>
      </c>
      <c r="M6" s="2">
        <f>L6-F6</f>
        <v>2100</v>
      </c>
      <c r="N6" s="3">
        <f t="shared" ref="N6:N64" si="1">M6/F6</f>
        <v>4.6666666666666669E-2</v>
      </c>
    </row>
    <row r="7" spans="1:14" x14ac:dyDescent="0.3">
      <c r="A7" s="6">
        <v>2</v>
      </c>
      <c r="B7" s="22" t="s">
        <v>21</v>
      </c>
      <c r="C7" s="20">
        <v>40000</v>
      </c>
      <c r="D7" s="25">
        <f t="shared" ref="D7:D64" si="2">C7*$H$3</f>
        <v>36000</v>
      </c>
      <c r="E7" s="20">
        <v>0</v>
      </c>
      <c r="F7" s="7">
        <f t="shared" ref="F7:F64" si="3">D7+E7</f>
        <v>36000</v>
      </c>
      <c r="G7" s="21">
        <v>100</v>
      </c>
      <c r="H7" s="16">
        <v>10</v>
      </c>
      <c r="I7" s="7">
        <f t="shared" ref="I7:I64" si="4">F7*G7*H7</f>
        <v>36000000</v>
      </c>
      <c r="J7" s="9">
        <f t="shared" si="0"/>
        <v>1800</v>
      </c>
      <c r="K7" s="9">
        <f t="shared" ref="K7:K64" si="5">F7+J7</f>
        <v>37800</v>
      </c>
      <c r="L7" s="14">
        <v>37700</v>
      </c>
      <c r="M7" s="2">
        <f t="shared" ref="M7:M64" si="6">L7-F7</f>
        <v>1700</v>
      </c>
      <c r="N7" s="3">
        <f t="shared" si="1"/>
        <v>4.7222222222222221E-2</v>
      </c>
    </row>
    <row r="8" spans="1:14" x14ac:dyDescent="0.3">
      <c r="A8" s="6">
        <v>4</v>
      </c>
      <c r="B8" s="22" t="s">
        <v>22</v>
      </c>
      <c r="C8" s="20">
        <v>40000</v>
      </c>
      <c r="D8" s="25">
        <f t="shared" si="2"/>
        <v>36000</v>
      </c>
      <c r="E8" s="20">
        <v>0</v>
      </c>
      <c r="F8" s="7">
        <f t="shared" si="3"/>
        <v>36000</v>
      </c>
      <c r="G8" s="21">
        <v>100</v>
      </c>
      <c r="H8" s="16">
        <v>10</v>
      </c>
      <c r="I8" s="7">
        <f t="shared" si="4"/>
        <v>36000000</v>
      </c>
      <c r="J8" s="9">
        <f t="shared" si="0"/>
        <v>1800</v>
      </c>
      <c r="K8" s="9">
        <f t="shared" si="5"/>
        <v>37800</v>
      </c>
      <c r="L8" s="14">
        <v>37700</v>
      </c>
      <c r="M8" s="2">
        <f t="shared" si="6"/>
        <v>1700</v>
      </c>
      <c r="N8" s="3">
        <f t="shared" si="1"/>
        <v>4.7222222222222221E-2</v>
      </c>
    </row>
    <row r="9" spans="1:14" x14ac:dyDescent="0.3">
      <c r="A9" s="6">
        <v>5</v>
      </c>
      <c r="B9" s="22"/>
      <c r="C9" s="20"/>
      <c r="D9" s="25">
        <f t="shared" si="2"/>
        <v>0</v>
      </c>
      <c r="E9" s="20"/>
      <c r="F9" s="7">
        <f t="shared" si="3"/>
        <v>0</v>
      </c>
      <c r="G9" s="21"/>
      <c r="H9" s="16"/>
      <c r="I9" s="7">
        <f t="shared" si="4"/>
        <v>0</v>
      </c>
      <c r="J9" s="9">
        <f t="shared" si="0"/>
        <v>0</v>
      </c>
      <c r="K9" s="9">
        <f t="shared" si="5"/>
        <v>0</v>
      </c>
      <c r="L9" s="14"/>
      <c r="M9" s="2">
        <f t="shared" si="6"/>
        <v>0</v>
      </c>
      <c r="N9" s="3" t="e">
        <f t="shared" si="1"/>
        <v>#DIV/0!</v>
      </c>
    </row>
    <row r="10" spans="1:14" x14ac:dyDescent="0.3">
      <c r="A10" s="6">
        <v>6</v>
      </c>
      <c r="B10" s="22"/>
      <c r="C10" s="20"/>
      <c r="D10" s="25">
        <f t="shared" si="2"/>
        <v>0</v>
      </c>
      <c r="E10" s="20"/>
      <c r="F10" s="7">
        <f t="shared" si="3"/>
        <v>0</v>
      </c>
      <c r="G10" s="21"/>
      <c r="H10" s="16"/>
      <c r="I10" s="7">
        <f t="shared" si="4"/>
        <v>0</v>
      </c>
      <c r="J10" s="9">
        <f t="shared" si="0"/>
        <v>0</v>
      </c>
      <c r="K10" s="9">
        <f t="shared" si="5"/>
        <v>0</v>
      </c>
      <c r="L10" s="14"/>
      <c r="M10" s="2">
        <f t="shared" si="6"/>
        <v>0</v>
      </c>
      <c r="N10" s="3" t="e">
        <f t="shared" si="1"/>
        <v>#DIV/0!</v>
      </c>
    </row>
    <row r="11" spans="1:14" x14ac:dyDescent="0.3">
      <c r="A11" s="6">
        <v>7</v>
      </c>
      <c r="B11" s="22"/>
      <c r="C11" s="20"/>
      <c r="D11" s="25">
        <f t="shared" si="2"/>
        <v>0</v>
      </c>
      <c r="E11" s="20"/>
      <c r="F11" s="7">
        <f t="shared" si="3"/>
        <v>0</v>
      </c>
      <c r="G11" s="21"/>
      <c r="H11" s="16"/>
      <c r="I11" s="7">
        <f t="shared" si="4"/>
        <v>0</v>
      </c>
      <c r="J11" s="9">
        <f t="shared" si="0"/>
        <v>0</v>
      </c>
      <c r="K11" s="9">
        <f t="shared" si="5"/>
        <v>0</v>
      </c>
      <c r="L11" s="14"/>
      <c r="M11" s="2">
        <f t="shared" si="6"/>
        <v>0</v>
      </c>
      <c r="N11" s="3" t="e">
        <f t="shared" si="1"/>
        <v>#DIV/0!</v>
      </c>
    </row>
    <row r="12" spans="1:14" x14ac:dyDescent="0.3">
      <c r="A12" s="6">
        <v>8</v>
      </c>
      <c r="B12" s="22"/>
      <c r="C12" s="20"/>
      <c r="D12" s="25">
        <f t="shared" si="2"/>
        <v>0</v>
      </c>
      <c r="E12" s="20"/>
      <c r="F12" s="7">
        <f t="shared" si="3"/>
        <v>0</v>
      </c>
      <c r="G12" s="21"/>
      <c r="H12" s="16"/>
      <c r="I12" s="7">
        <f t="shared" si="4"/>
        <v>0</v>
      </c>
      <c r="J12" s="9">
        <f t="shared" si="0"/>
        <v>0</v>
      </c>
      <c r="K12" s="9">
        <f t="shared" si="5"/>
        <v>0</v>
      </c>
      <c r="L12" s="14"/>
      <c r="M12" s="2">
        <f t="shared" si="6"/>
        <v>0</v>
      </c>
      <c r="N12" s="3" t="e">
        <f t="shared" si="1"/>
        <v>#DIV/0!</v>
      </c>
    </row>
    <row r="13" spans="1:14" x14ac:dyDescent="0.3">
      <c r="A13" s="6">
        <v>9</v>
      </c>
      <c r="B13" s="22"/>
      <c r="C13" s="20"/>
      <c r="D13" s="25">
        <f t="shared" si="2"/>
        <v>0</v>
      </c>
      <c r="E13" s="20"/>
      <c r="F13" s="7">
        <f t="shared" si="3"/>
        <v>0</v>
      </c>
      <c r="G13" s="21"/>
      <c r="H13" s="16"/>
      <c r="I13" s="7">
        <f t="shared" si="4"/>
        <v>0</v>
      </c>
      <c r="J13" s="9">
        <f t="shared" si="0"/>
        <v>0</v>
      </c>
      <c r="K13" s="9">
        <f t="shared" si="5"/>
        <v>0</v>
      </c>
      <c r="L13" s="14"/>
      <c r="M13" s="2">
        <f t="shared" si="6"/>
        <v>0</v>
      </c>
      <c r="N13" s="3" t="e">
        <f t="shared" si="1"/>
        <v>#DIV/0!</v>
      </c>
    </row>
    <row r="14" spans="1:14" x14ac:dyDescent="0.3">
      <c r="A14" s="6">
        <v>10</v>
      </c>
      <c r="B14" s="22"/>
      <c r="C14" s="20"/>
      <c r="D14" s="25">
        <f t="shared" si="2"/>
        <v>0</v>
      </c>
      <c r="E14" s="20"/>
      <c r="F14" s="7">
        <f t="shared" si="3"/>
        <v>0</v>
      </c>
      <c r="G14" s="21"/>
      <c r="H14" s="16"/>
      <c r="I14" s="7">
        <f t="shared" si="4"/>
        <v>0</v>
      </c>
      <c r="J14" s="9">
        <f t="shared" si="0"/>
        <v>0</v>
      </c>
      <c r="K14" s="9">
        <f t="shared" si="5"/>
        <v>0</v>
      </c>
      <c r="L14" s="14"/>
      <c r="M14" s="2">
        <f t="shared" si="6"/>
        <v>0</v>
      </c>
      <c r="N14" s="3" t="e">
        <f t="shared" si="1"/>
        <v>#DIV/0!</v>
      </c>
    </row>
    <row r="15" spans="1:14" x14ac:dyDescent="0.3">
      <c r="A15" s="6">
        <v>11</v>
      </c>
      <c r="B15" s="22"/>
      <c r="C15" s="20"/>
      <c r="D15" s="25">
        <f t="shared" si="2"/>
        <v>0</v>
      </c>
      <c r="E15" s="20"/>
      <c r="F15" s="7">
        <f t="shared" si="3"/>
        <v>0</v>
      </c>
      <c r="G15" s="21"/>
      <c r="H15" s="16"/>
      <c r="I15" s="7">
        <f t="shared" si="4"/>
        <v>0</v>
      </c>
      <c r="J15" s="9">
        <f t="shared" si="0"/>
        <v>0</v>
      </c>
      <c r="K15" s="9">
        <f t="shared" si="5"/>
        <v>0</v>
      </c>
      <c r="L15" s="14"/>
      <c r="M15" s="2">
        <f t="shared" si="6"/>
        <v>0</v>
      </c>
      <c r="N15" s="3" t="e">
        <f t="shared" si="1"/>
        <v>#DIV/0!</v>
      </c>
    </row>
    <row r="16" spans="1:14" x14ac:dyDescent="0.3">
      <c r="A16" s="6">
        <v>12</v>
      </c>
      <c r="B16" s="22"/>
      <c r="C16" s="20"/>
      <c r="D16" s="25">
        <f t="shared" si="2"/>
        <v>0</v>
      </c>
      <c r="E16" s="20"/>
      <c r="F16" s="7">
        <f t="shared" si="3"/>
        <v>0</v>
      </c>
      <c r="G16" s="21"/>
      <c r="H16" s="16"/>
      <c r="I16" s="7">
        <f t="shared" si="4"/>
        <v>0</v>
      </c>
      <c r="J16" s="9">
        <f t="shared" si="0"/>
        <v>0</v>
      </c>
      <c r="K16" s="9">
        <f t="shared" si="5"/>
        <v>0</v>
      </c>
      <c r="L16" s="14"/>
      <c r="M16" s="2">
        <f t="shared" si="6"/>
        <v>0</v>
      </c>
      <c r="N16" s="3" t="e">
        <f t="shared" si="1"/>
        <v>#DIV/0!</v>
      </c>
    </row>
    <row r="17" spans="1:14" x14ac:dyDescent="0.3">
      <c r="A17" s="6">
        <v>13</v>
      </c>
      <c r="B17" s="22"/>
      <c r="C17" s="20"/>
      <c r="D17" s="25">
        <f t="shared" si="2"/>
        <v>0</v>
      </c>
      <c r="E17" s="20"/>
      <c r="F17" s="7">
        <f t="shared" si="3"/>
        <v>0</v>
      </c>
      <c r="G17" s="21"/>
      <c r="H17" s="16"/>
      <c r="I17" s="7">
        <f t="shared" si="4"/>
        <v>0</v>
      </c>
      <c r="J17" s="9">
        <f t="shared" si="0"/>
        <v>0</v>
      </c>
      <c r="K17" s="9">
        <f t="shared" si="5"/>
        <v>0</v>
      </c>
      <c r="L17" s="14"/>
      <c r="M17" s="2">
        <f t="shared" si="6"/>
        <v>0</v>
      </c>
      <c r="N17" s="3" t="e">
        <f t="shared" si="1"/>
        <v>#DIV/0!</v>
      </c>
    </row>
    <row r="18" spans="1:14" x14ac:dyDescent="0.3">
      <c r="A18" s="6">
        <v>14</v>
      </c>
      <c r="B18" s="22"/>
      <c r="C18" s="20"/>
      <c r="D18" s="25">
        <f t="shared" si="2"/>
        <v>0</v>
      </c>
      <c r="E18" s="20"/>
      <c r="F18" s="7">
        <f t="shared" si="3"/>
        <v>0</v>
      </c>
      <c r="G18" s="21"/>
      <c r="H18" s="16"/>
      <c r="I18" s="7">
        <f t="shared" si="4"/>
        <v>0</v>
      </c>
      <c r="J18" s="9">
        <f t="shared" si="0"/>
        <v>0</v>
      </c>
      <c r="K18" s="9">
        <f t="shared" si="5"/>
        <v>0</v>
      </c>
      <c r="L18" s="14"/>
      <c r="M18" s="2">
        <f t="shared" si="6"/>
        <v>0</v>
      </c>
      <c r="N18" s="3" t="e">
        <f t="shared" si="1"/>
        <v>#DIV/0!</v>
      </c>
    </row>
    <row r="19" spans="1:14" x14ac:dyDescent="0.3">
      <c r="A19" s="6">
        <v>15</v>
      </c>
      <c r="B19" s="22"/>
      <c r="C19" s="20"/>
      <c r="D19" s="25">
        <f t="shared" si="2"/>
        <v>0</v>
      </c>
      <c r="E19" s="20"/>
      <c r="F19" s="7">
        <f t="shared" si="3"/>
        <v>0</v>
      </c>
      <c r="G19" s="21"/>
      <c r="H19" s="16"/>
      <c r="I19" s="7">
        <f t="shared" si="4"/>
        <v>0</v>
      </c>
      <c r="J19" s="9">
        <f t="shared" si="0"/>
        <v>0</v>
      </c>
      <c r="K19" s="9">
        <f t="shared" si="5"/>
        <v>0</v>
      </c>
      <c r="L19" s="14"/>
      <c r="M19" s="2">
        <f t="shared" si="6"/>
        <v>0</v>
      </c>
      <c r="N19" s="3" t="e">
        <f t="shared" si="1"/>
        <v>#DIV/0!</v>
      </c>
    </row>
    <row r="20" spans="1:14" x14ac:dyDescent="0.3">
      <c r="A20" s="6">
        <v>16</v>
      </c>
      <c r="B20" s="22"/>
      <c r="C20" s="20"/>
      <c r="D20" s="25">
        <f t="shared" si="2"/>
        <v>0</v>
      </c>
      <c r="E20" s="20"/>
      <c r="F20" s="7">
        <f t="shared" si="3"/>
        <v>0</v>
      </c>
      <c r="G20" s="21"/>
      <c r="H20" s="16"/>
      <c r="I20" s="7">
        <f t="shared" si="4"/>
        <v>0</v>
      </c>
      <c r="J20" s="9">
        <f t="shared" si="0"/>
        <v>0</v>
      </c>
      <c r="K20" s="9">
        <f t="shared" si="5"/>
        <v>0</v>
      </c>
      <c r="L20" s="14"/>
      <c r="M20" s="2">
        <f t="shared" si="6"/>
        <v>0</v>
      </c>
      <c r="N20" s="3" t="e">
        <f t="shared" si="1"/>
        <v>#DIV/0!</v>
      </c>
    </row>
    <row r="21" spans="1:14" x14ac:dyDescent="0.3">
      <c r="A21" s="6">
        <v>17</v>
      </c>
      <c r="B21" s="22"/>
      <c r="C21" s="20"/>
      <c r="D21" s="25">
        <f t="shared" si="2"/>
        <v>0</v>
      </c>
      <c r="E21" s="20"/>
      <c r="F21" s="7">
        <f t="shared" si="3"/>
        <v>0</v>
      </c>
      <c r="G21" s="21"/>
      <c r="H21" s="16"/>
      <c r="I21" s="7">
        <f t="shared" si="4"/>
        <v>0</v>
      </c>
      <c r="J21" s="9">
        <f t="shared" si="0"/>
        <v>0</v>
      </c>
      <c r="K21" s="9">
        <f t="shared" si="5"/>
        <v>0</v>
      </c>
      <c r="L21" s="14"/>
      <c r="M21" s="2">
        <f t="shared" si="6"/>
        <v>0</v>
      </c>
      <c r="N21" s="3" t="e">
        <f t="shared" si="1"/>
        <v>#DIV/0!</v>
      </c>
    </row>
    <row r="22" spans="1:14" x14ac:dyDescent="0.3">
      <c r="A22" s="6">
        <v>18</v>
      </c>
      <c r="B22" s="22"/>
      <c r="C22" s="20"/>
      <c r="D22" s="25">
        <f t="shared" si="2"/>
        <v>0</v>
      </c>
      <c r="E22" s="20"/>
      <c r="F22" s="7">
        <f t="shared" si="3"/>
        <v>0</v>
      </c>
      <c r="G22" s="21"/>
      <c r="H22" s="16"/>
      <c r="I22" s="7">
        <f t="shared" si="4"/>
        <v>0</v>
      </c>
      <c r="J22" s="9">
        <f t="shared" si="0"/>
        <v>0</v>
      </c>
      <c r="K22" s="9">
        <f t="shared" si="5"/>
        <v>0</v>
      </c>
      <c r="L22" s="14"/>
      <c r="M22" s="2">
        <f t="shared" si="6"/>
        <v>0</v>
      </c>
      <c r="N22" s="3" t="e">
        <f t="shared" si="1"/>
        <v>#DIV/0!</v>
      </c>
    </row>
    <row r="23" spans="1:14" x14ac:dyDescent="0.3">
      <c r="A23" s="6">
        <v>19</v>
      </c>
      <c r="B23" s="22"/>
      <c r="C23" s="20"/>
      <c r="D23" s="25">
        <f t="shared" si="2"/>
        <v>0</v>
      </c>
      <c r="E23" s="20"/>
      <c r="F23" s="7">
        <f t="shared" si="3"/>
        <v>0</v>
      </c>
      <c r="G23" s="21"/>
      <c r="H23" s="16"/>
      <c r="I23" s="7">
        <f t="shared" si="4"/>
        <v>0</v>
      </c>
      <c r="J23" s="9">
        <f t="shared" si="0"/>
        <v>0</v>
      </c>
      <c r="K23" s="9">
        <f t="shared" si="5"/>
        <v>0</v>
      </c>
      <c r="L23" s="14"/>
      <c r="M23" s="2">
        <f t="shared" si="6"/>
        <v>0</v>
      </c>
      <c r="N23" s="3" t="e">
        <f t="shared" si="1"/>
        <v>#DIV/0!</v>
      </c>
    </row>
    <row r="24" spans="1:14" x14ac:dyDescent="0.3">
      <c r="A24" s="6">
        <v>20</v>
      </c>
      <c r="B24" s="22"/>
      <c r="C24" s="20"/>
      <c r="D24" s="25">
        <f t="shared" si="2"/>
        <v>0</v>
      </c>
      <c r="E24" s="20"/>
      <c r="F24" s="7">
        <f t="shared" si="3"/>
        <v>0</v>
      </c>
      <c r="G24" s="21"/>
      <c r="H24" s="16"/>
      <c r="I24" s="7">
        <f t="shared" si="4"/>
        <v>0</v>
      </c>
      <c r="J24" s="9">
        <f t="shared" si="0"/>
        <v>0</v>
      </c>
      <c r="K24" s="9">
        <f t="shared" si="5"/>
        <v>0</v>
      </c>
      <c r="L24" s="14"/>
      <c r="M24" s="2">
        <f t="shared" si="6"/>
        <v>0</v>
      </c>
      <c r="N24" s="3" t="e">
        <f t="shared" si="1"/>
        <v>#DIV/0!</v>
      </c>
    </row>
    <row r="25" spans="1:14" x14ac:dyDescent="0.3">
      <c r="A25" s="6">
        <v>21</v>
      </c>
      <c r="B25" s="22"/>
      <c r="C25" s="20"/>
      <c r="D25" s="25">
        <f t="shared" si="2"/>
        <v>0</v>
      </c>
      <c r="E25" s="20"/>
      <c r="F25" s="7">
        <f t="shared" si="3"/>
        <v>0</v>
      </c>
      <c r="G25" s="21"/>
      <c r="H25" s="16"/>
      <c r="I25" s="7">
        <f t="shared" si="4"/>
        <v>0</v>
      </c>
      <c r="J25" s="9">
        <f t="shared" si="0"/>
        <v>0</v>
      </c>
      <c r="K25" s="9">
        <f t="shared" si="5"/>
        <v>0</v>
      </c>
      <c r="L25" s="14"/>
      <c r="M25" s="2">
        <f t="shared" si="6"/>
        <v>0</v>
      </c>
      <c r="N25" s="3" t="e">
        <f t="shared" si="1"/>
        <v>#DIV/0!</v>
      </c>
    </row>
    <row r="26" spans="1:14" x14ac:dyDescent="0.3">
      <c r="A26" s="6">
        <v>22</v>
      </c>
      <c r="B26" s="22"/>
      <c r="C26" s="20"/>
      <c r="D26" s="25">
        <f t="shared" si="2"/>
        <v>0</v>
      </c>
      <c r="E26" s="20"/>
      <c r="F26" s="7">
        <f t="shared" si="3"/>
        <v>0</v>
      </c>
      <c r="G26" s="21"/>
      <c r="H26" s="16"/>
      <c r="I26" s="7">
        <f t="shared" si="4"/>
        <v>0</v>
      </c>
      <c r="J26" s="9">
        <f t="shared" si="0"/>
        <v>0</v>
      </c>
      <c r="K26" s="9">
        <f t="shared" si="5"/>
        <v>0</v>
      </c>
      <c r="L26" s="14"/>
      <c r="M26" s="2">
        <f t="shared" si="6"/>
        <v>0</v>
      </c>
      <c r="N26" s="3" t="e">
        <f t="shared" si="1"/>
        <v>#DIV/0!</v>
      </c>
    </row>
    <row r="27" spans="1:14" x14ac:dyDescent="0.3">
      <c r="A27" s="6">
        <v>23</v>
      </c>
      <c r="B27" s="22"/>
      <c r="C27" s="20"/>
      <c r="D27" s="25">
        <f t="shared" si="2"/>
        <v>0</v>
      </c>
      <c r="E27" s="20"/>
      <c r="F27" s="7">
        <f t="shared" si="3"/>
        <v>0</v>
      </c>
      <c r="G27" s="21"/>
      <c r="H27" s="16"/>
      <c r="I27" s="7">
        <f t="shared" si="4"/>
        <v>0</v>
      </c>
      <c r="J27" s="9">
        <f t="shared" si="0"/>
        <v>0</v>
      </c>
      <c r="K27" s="9">
        <f t="shared" si="5"/>
        <v>0</v>
      </c>
      <c r="L27" s="14"/>
      <c r="M27" s="2">
        <f t="shared" si="6"/>
        <v>0</v>
      </c>
      <c r="N27" s="3" t="e">
        <f t="shared" si="1"/>
        <v>#DIV/0!</v>
      </c>
    </row>
    <row r="28" spans="1:14" x14ac:dyDescent="0.3">
      <c r="A28" s="6">
        <v>24</v>
      </c>
      <c r="B28" s="22"/>
      <c r="C28" s="20"/>
      <c r="D28" s="25">
        <f t="shared" si="2"/>
        <v>0</v>
      </c>
      <c r="E28" s="20"/>
      <c r="F28" s="7">
        <f t="shared" si="3"/>
        <v>0</v>
      </c>
      <c r="G28" s="21"/>
      <c r="H28" s="16"/>
      <c r="I28" s="7">
        <f t="shared" ref="I28:I63" si="7">F28*G28*H28</f>
        <v>0</v>
      </c>
      <c r="J28" s="9">
        <f t="shared" ref="J28:J63" si="8">ROUNDDOWN(F28*$F$4, -1)</f>
        <v>0</v>
      </c>
      <c r="K28" s="9">
        <f t="shared" ref="K28:K63" si="9">F28+J28</f>
        <v>0</v>
      </c>
      <c r="L28" s="14"/>
      <c r="M28" s="2">
        <f t="shared" si="6"/>
        <v>0</v>
      </c>
      <c r="N28" s="3" t="e">
        <f t="shared" si="1"/>
        <v>#DIV/0!</v>
      </c>
    </row>
    <row r="29" spans="1:14" x14ac:dyDescent="0.3">
      <c r="A29" s="6">
        <v>25</v>
      </c>
      <c r="B29" s="22"/>
      <c r="C29" s="20"/>
      <c r="D29" s="25">
        <f t="shared" si="2"/>
        <v>0</v>
      </c>
      <c r="E29" s="20"/>
      <c r="F29" s="7">
        <f t="shared" si="3"/>
        <v>0</v>
      </c>
      <c r="G29" s="21"/>
      <c r="H29" s="16"/>
      <c r="I29" s="7">
        <f t="shared" si="7"/>
        <v>0</v>
      </c>
      <c r="J29" s="9">
        <f t="shared" si="8"/>
        <v>0</v>
      </c>
      <c r="K29" s="9">
        <f t="shared" si="9"/>
        <v>0</v>
      </c>
      <c r="L29" s="14"/>
      <c r="M29" s="2">
        <f t="shared" si="6"/>
        <v>0</v>
      </c>
      <c r="N29" s="3" t="e">
        <f t="shared" si="1"/>
        <v>#DIV/0!</v>
      </c>
    </row>
    <row r="30" spans="1:14" x14ac:dyDescent="0.3">
      <c r="A30" s="6">
        <v>26</v>
      </c>
      <c r="B30" s="22"/>
      <c r="C30" s="20"/>
      <c r="D30" s="25">
        <f t="shared" si="2"/>
        <v>0</v>
      </c>
      <c r="E30" s="20"/>
      <c r="F30" s="7">
        <f t="shared" si="3"/>
        <v>0</v>
      </c>
      <c r="G30" s="21"/>
      <c r="H30" s="16"/>
      <c r="I30" s="7">
        <f t="shared" si="7"/>
        <v>0</v>
      </c>
      <c r="J30" s="9">
        <f t="shared" si="8"/>
        <v>0</v>
      </c>
      <c r="K30" s="9">
        <f t="shared" si="9"/>
        <v>0</v>
      </c>
      <c r="L30" s="14"/>
      <c r="M30" s="2">
        <f t="shared" si="6"/>
        <v>0</v>
      </c>
      <c r="N30" s="3" t="e">
        <f t="shared" si="1"/>
        <v>#DIV/0!</v>
      </c>
    </row>
    <row r="31" spans="1:14" x14ac:dyDescent="0.3">
      <c r="A31" s="6">
        <v>27</v>
      </c>
      <c r="B31" s="22"/>
      <c r="C31" s="20"/>
      <c r="D31" s="25">
        <f t="shared" si="2"/>
        <v>0</v>
      </c>
      <c r="E31" s="20"/>
      <c r="F31" s="7">
        <f t="shared" si="3"/>
        <v>0</v>
      </c>
      <c r="G31" s="21"/>
      <c r="H31" s="16"/>
      <c r="I31" s="7">
        <f t="shared" si="7"/>
        <v>0</v>
      </c>
      <c r="J31" s="9">
        <f t="shared" si="8"/>
        <v>0</v>
      </c>
      <c r="K31" s="9">
        <f t="shared" si="9"/>
        <v>0</v>
      </c>
      <c r="L31" s="14"/>
      <c r="M31" s="2">
        <f t="shared" si="6"/>
        <v>0</v>
      </c>
      <c r="N31" s="3" t="e">
        <f t="shared" si="1"/>
        <v>#DIV/0!</v>
      </c>
    </row>
    <row r="32" spans="1:14" x14ac:dyDescent="0.3">
      <c r="A32" s="6">
        <v>28</v>
      </c>
      <c r="B32" s="22"/>
      <c r="C32" s="20"/>
      <c r="D32" s="25">
        <f t="shared" si="2"/>
        <v>0</v>
      </c>
      <c r="E32" s="20"/>
      <c r="F32" s="7">
        <f t="shared" si="3"/>
        <v>0</v>
      </c>
      <c r="G32" s="21"/>
      <c r="H32" s="16"/>
      <c r="I32" s="7">
        <f t="shared" si="7"/>
        <v>0</v>
      </c>
      <c r="J32" s="9">
        <f t="shared" si="8"/>
        <v>0</v>
      </c>
      <c r="K32" s="9">
        <f t="shared" si="9"/>
        <v>0</v>
      </c>
      <c r="L32" s="14"/>
      <c r="M32" s="2">
        <f t="shared" si="6"/>
        <v>0</v>
      </c>
      <c r="N32" s="3" t="e">
        <f t="shared" si="1"/>
        <v>#DIV/0!</v>
      </c>
    </row>
    <row r="33" spans="1:14" x14ac:dyDescent="0.3">
      <c r="A33" s="6">
        <v>29</v>
      </c>
      <c r="B33" s="22"/>
      <c r="C33" s="20"/>
      <c r="D33" s="25">
        <f t="shared" si="2"/>
        <v>0</v>
      </c>
      <c r="E33" s="20"/>
      <c r="F33" s="7">
        <f t="shared" si="3"/>
        <v>0</v>
      </c>
      <c r="G33" s="21"/>
      <c r="H33" s="16"/>
      <c r="I33" s="7">
        <f t="shared" si="7"/>
        <v>0</v>
      </c>
      <c r="J33" s="9">
        <f t="shared" si="8"/>
        <v>0</v>
      </c>
      <c r="K33" s="9">
        <f t="shared" si="9"/>
        <v>0</v>
      </c>
      <c r="L33" s="14"/>
      <c r="M33" s="2">
        <f t="shared" si="6"/>
        <v>0</v>
      </c>
      <c r="N33" s="3" t="e">
        <f t="shared" si="1"/>
        <v>#DIV/0!</v>
      </c>
    </row>
    <row r="34" spans="1:14" x14ac:dyDescent="0.3">
      <c r="A34" s="6">
        <v>30</v>
      </c>
      <c r="B34" s="22"/>
      <c r="C34" s="20"/>
      <c r="D34" s="25">
        <f t="shared" si="2"/>
        <v>0</v>
      </c>
      <c r="E34" s="20"/>
      <c r="F34" s="7">
        <f t="shared" si="3"/>
        <v>0</v>
      </c>
      <c r="G34" s="21"/>
      <c r="H34" s="16"/>
      <c r="I34" s="7">
        <f t="shared" si="7"/>
        <v>0</v>
      </c>
      <c r="J34" s="9">
        <f t="shared" si="8"/>
        <v>0</v>
      </c>
      <c r="K34" s="9">
        <f t="shared" si="9"/>
        <v>0</v>
      </c>
      <c r="L34" s="14"/>
      <c r="M34" s="2">
        <f t="shared" si="6"/>
        <v>0</v>
      </c>
      <c r="N34" s="3" t="e">
        <f t="shared" si="1"/>
        <v>#DIV/0!</v>
      </c>
    </row>
    <row r="35" spans="1:14" x14ac:dyDescent="0.3">
      <c r="A35" s="6">
        <v>31</v>
      </c>
      <c r="B35" s="22"/>
      <c r="C35" s="20"/>
      <c r="D35" s="25">
        <f t="shared" si="2"/>
        <v>0</v>
      </c>
      <c r="E35" s="20"/>
      <c r="F35" s="7">
        <f t="shared" si="3"/>
        <v>0</v>
      </c>
      <c r="G35" s="21"/>
      <c r="H35" s="16"/>
      <c r="I35" s="7">
        <f t="shared" si="7"/>
        <v>0</v>
      </c>
      <c r="J35" s="9">
        <f t="shared" si="8"/>
        <v>0</v>
      </c>
      <c r="K35" s="9">
        <f t="shared" si="9"/>
        <v>0</v>
      </c>
      <c r="L35" s="14"/>
      <c r="M35" s="2">
        <f t="shared" si="6"/>
        <v>0</v>
      </c>
      <c r="N35" s="3" t="e">
        <f t="shared" si="1"/>
        <v>#DIV/0!</v>
      </c>
    </row>
    <row r="36" spans="1:14" x14ac:dyDescent="0.3">
      <c r="A36" s="6">
        <v>32</v>
      </c>
      <c r="B36" s="22"/>
      <c r="C36" s="20"/>
      <c r="D36" s="25">
        <f t="shared" si="2"/>
        <v>0</v>
      </c>
      <c r="E36" s="20"/>
      <c r="F36" s="7">
        <f t="shared" si="3"/>
        <v>0</v>
      </c>
      <c r="G36" s="21"/>
      <c r="H36" s="16"/>
      <c r="I36" s="7">
        <f t="shared" si="7"/>
        <v>0</v>
      </c>
      <c r="J36" s="9">
        <f t="shared" si="8"/>
        <v>0</v>
      </c>
      <c r="K36" s="9">
        <f t="shared" si="9"/>
        <v>0</v>
      </c>
      <c r="L36" s="14"/>
      <c r="M36" s="2">
        <f t="shared" si="6"/>
        <v>0</v>
      </c>
      <c r="N36" s="3" t="e">
        <f t="shared" si="1"/>
        <v>#DIV/0!</v>
      </c>
    </row>
    <row r="37" spans="1:14" x14ac:dyDescent="0.3">
      <c r="A37" s="6">
        <v>33</v>
      </c>
      <c r="B37" s="22"/>
      <c r="C37" s="20"/>
      <c r="D37" s="25">
        <f t="shared" si="2"/>
        <v>0</v>
      </c>
      <c r="E37" s="20"/>
      <c r="F37" s="7">
        <f t="shared" si="3"/>
        <v>0</v>
      </c>
      <c r="G37" s="21"/>
      <c r="H37" s="16"/>
      <c r="I37" s="7">
        <f t="shared" si="7"/>
        <v>0</v>
      </c>
      <c r="J37" s="9">
        <f t="shared" si="8"/>
        <v>0</v>
      </c>
      <c r="K37" s="9">
        <f t="shared" si="9"/>
        <v>0</v>
      </c>
      <c r="L37" s="14"/>
      <c r="M37" s="2">
        <f t="shared" si="6"/>
        <v>0</v>
      </c>
      <c r="N37" s="3" t="e">
        <f t="shared" si="1"/>
        <v>#DIV/0!</v>
      </c>
    </row>
    <row r="38" spans="1:14" x14ac:dyDescent="0.3">
      <c r="A38" s="6">
        <v>34</v>
      </c>
      <c r="B38" s="22"/>
      <c r="C38" s="20"/>
      <c r="D38" s="25">
        <f t="shared" si="2"/>
        <v>0</v>
      </c>
      <c r="E38" s="20"/>
      <c r="F38" s="7">
        <f t="shared" si="3"/>
        <v>0</v>
      </c>
      <c r="G38" s="21"/>
      <c r="H38" s="16"/>
      <c r="I38" s="7">
        <f t="shared" si="7"/>
        <v>0</v>
      </c>
      <c r="J38" s="9">
        <f t="shared" si="8"/>
        <v>0</v>
      </c>
      <c r="K38" s="9">
        <f t="shared" si="9"/>
        <v>0</v>
      </c>
      <c r="L38" s="14"/>
      <c r="M38" s="2">
        <f t="shared" si="6"/>
        <v>0</v>
      </c>
      <c r="N38" s="3" t="e">
        <f t="shared" si="1"/>
        <v>#DIV/0!</v>
      </c>
    </row>
    <row r="39" spans="1:14" x14ac:dyDescent="0.3">
      <c r="A39" s="6">
        <v>35</v>
      </c>
      <c r="B39" s="22"/>
      <c r="C39" s="20"/>
      <c r="D39" s="25">
        <f t="shared" si="2"/>
        <v>0</v>
      </c>
      <c r="E39" s="20"/>
      <c r="F39" s="7">
        <f t="shared" si="3"/>
        <v>0</v>
      </c>
      <c r="G39" s="21"/>
      <c r="H39" s="16"/>
      <c r="I39" s="7">
        <f t="shared" si="7"/>
        <v>0</v>
      </c>
      <c r="J39" s="9">
        <f t="shared" si="8"/>
        <v>0</v>
      </c>
      <c r="K39" s="9">
        <f t="shared" si="9"/>
        <v>0</v>
      </c>
      <c r="L39" s="14"/>
      <c r="M39" s="2">
        <f t="shared" si="6"/>
        <v>0</v>
      </c>
      <c r="N39" s="3" t="e">
        <f t="shared" si="1"/>
        <v>#DIV/0!</v>
      </c>
    </row>
    <row r="40" spans="1:14" x14ac:dyDescent="0.3">
      <c r="A40" s="6">
        <v>36</v>
      </c>
      <c r="B40" s="22"/>
      <c r="C40" s="20"/>
      <c r="D40" s="25">
        <f t="shared" si="2"/>
        <v>0</v>
      </c>
      <c r="E40" s="20"/>
      <c r="F40" s="7">
        <f t="shared" si="3"/>
        <v>0</v>
      </c>
      <c r="G40" s="21"/>
      <c r="H40" s="16"/>
      <c r="I40" s="7">
        <f t="shared" si="7"/>
        <v>0</v>
      </c>
      <c r="J40" s="9">
        <f t="shared" si="8"/>
        <v>0</v>
      </c>
      <c r="K40" s="9">
        <f t="shared" si="9"/>
        <v>0</v>
      </c>
      <c r="L40" s="14"/>
      <c r="M40" s="2">
        <f t="shared" si="6"/>
        <v>0</v>
      </c>
      <c r="N40" s="3" t="e">
        <f t="shared" si="1"/>
        <v>#DIV/0!</v>
      </c>
    </row>
    <row r="41" spans="1:14" x14ac:dyDescent="0.3">
      <c r="A41" s="6">
        <v>37</v>
      </c>
      <c r="B41" s="22"/>
      <c r="C41" s="20"/>
      <c r="D41" s="25">
        <f t="shared" si="2"/>
        <v>0</v>
      </c>
      <c r="E41" s="20"/>
      <c r="F41" s="7">
        <f t="shared" si="3"/>
        <v>0</v>
      </c>
      <c r="G41" s="21"/>
      <c r="H41" s="16"/>
      <c r="I41" s="7">
        <f t="shared" si="7"/>
        <v>0</v>
      </c>
      <c r="J41" s="9">
        <f t="shared" si="8"/>
        <v>0</v>
      </c>
      <c r="K41" s="9">
        <f t="shared" si="9"/>
        <v>0</v>
      </c>
      <c r="L41" s="14"/>
      <c r="M41" s="2">
        <f t="shared" si="6"/>
        <v>0</v>
      </c>
      <c r="N41" s="3" t="e">
        <f t="shared" si="1"/>
        <v>#DIV/0!</v>
      </c>
    </row>
    <row r="42" spans="1:14" x14ac:dyDescent="0.3">
      <c r="A42" s="6">
        <v>38</v>
      </c>
      <c r="B42" s="22"/>
      <c r="C42" s="20"/>
      <c r="D42" s="25">
        <f t="shared" si="2"/>
        <v>0</v>
      </c>
      <c r="E42" s="20"/>
      <c r="F42" s="7">
        <f t="shared" si="3"/>
        <v>0</v>
      </c>
      <c r="G42" s="21"/>
      <c r="H42" s="16"/>
      <c r="I42" s="7">
        <f t="shared" si="7"/>
        <v>0</v>
      </c>
      <c r="J42" s="9">
        <f t="shared" si="8"/>
        <v>0</v>
      </c>
      <c r="K42" s="9">
        <f t="shared" si="9"/>
        <v>0</v>
      </c>
      <c r="L42" s="14"/>
      <c r="M42" s="2">
        <f t="shared" si="6"/>
        <v>0</v>
      </c>
      <c r="N42" s="3" t="e">
        <f t="shared" si="1"/>
        <v>#DIV/0!</v>
      </c>
    </row>
    <row r="43" spans="1:14" x14ac:dyDescent="0.3">
      <c r="A43" s="6">
        <v>39</v>
      </c>
      <c r="B43" s="22"/>
      <c r="C43" s="20"/>
      <c r="D43" s="25">
        <f t="shared" si="2"/>
        <v>0</v>
      </c>
      <c r="E43" s="20"/>
      <c r="F43" s="7">
        <f t="shared" si="3"/>
        <v>0</v>
      </c>
      <c r="G43" s="21"/>
      <c r="H43" s="16"/>
      <c r="I43" s="7">
        <f t="shared" si="7"/>
        <v>0</v>
      </c>
      <c r="J43" s="9">
        <f t="shared" si="8"/>
        <v>0</v>
      </c>
      <c r="K43" s="9">
        <f t="shared" si="9"/>
        <v>0</v>
      </c>
      <c r="L43" s="14"/>
      <c r="M43" s="2">
        <f t="shared" si="6"/>
        <v>0</v>
      </c>
      <c r="N43" s="3" t="e">
        <f t="shared" si="1"/>
        <v>#DIV/0!</v>
      </c>
    </row>
    <row r="44" spans="1:14" x14ac:dyDescent="0.3">
      <c r="A44" s="6">
        <v>40</v>
      </c>
      <c r="B44" s="22"/>
      <c r="C44" s="20"/>
      <c r="D44" s="25">
        <f t="shared" si="2"/>
        <v>0</v>
      </c>
      <c r="E44" s="20"/>
      <c r="F44" s="7">
        <f t="shared" si="3"/>
        <v>0</v>
      </c>
      <c r="G44" s="21"/>
      <c r="H44" s="16"/>
      <c r="I44" s="7">
        <f t="shared" si="7"/>
        <v>0</v>
      </c>
      <c r="J44" s="9">
        <f t="shared" si="8"/>
        <v>0</v>
      </c>
      <c r="K44" s="9">
        <f t="shared" si="9"/>
        <v>0</v>
      </c>
      <c r="L44" s="14"/>
      <c r="M44" s="2">
        <f t="shared" si="6"/>
        <v>0</v>
      </c>
      <c r="N44" s="3" t="e">
        <f t="shared" si="1"/>
        <v>#DIV/0!</v>
      </c>
    </row>
    <row r="45" spans="1:14" x14ac:dyDescent="0.3">
      <c r="A45" s="6">
        <v>41</v>
      </c>
      <c r="B45" s="22"/>
      <c r="C45" s="20"/>
      <c r="D45" s="25">
        <f t="shared" si="2"/>
        <v>0</v>
      </c>
      <c r="E45" s="20"/>
      <c r="F45" s="7">
        <f t="shared" si="3"/>
        <v>0</v>
      </c>
      <c r="G45" s="21"/>
      <c r="H45" s="16"/>
      <c r="I45" s="7">
        <f t="shared" si="7"/>
        <v>0</v>
      </c>
      <c r="J45" s="9">
        <f t="shared" si="8"/>
        <v>0</v>
      </c>
      <c r="K45" s="9">
        <f t="shared" si="9"/>
        <v>0</v>
      </c>
      <c r="L45" s="14"/>
      <c r="M45" s="2">
        <f t="shared" si="6"/>
        <v>0</v>
      </c>
      <c r="N45" s="3" t="e">
        <f t="shared" si="1"/>
        <v>#DIV/0!</v>
      </c>
    </row>
    <row r="46" spans="1:14" x14ac:dyDescent="0.3">
      <c r="A46" s="6">
        <v>42</v>
      </c>
      <c r="B46" s="22"/>
      <c r="C46" s="20"/>
      <c r="D46" s="25">
        <f t="shared" si="2"/>
        <v>0</v>
      </c>
      <c r="E46" s="20"/>
      <c r="F46" s="7">
        <f t="shared" si="3"/>
        <v>0</v>
      </c>
      <c r="G46" s="21"/>
      <c r="H46" s="16"/>
      <c r="I46" s="7">
        <f t="shared" si="7"/>
        <v>0</v>
      </c>
      <c r="J46" s="9">
        <f t="shared" si="8"/>
        <v>0</v>
      </c>
      <c r="K46" s="9">
        <f t="shared" si="9"/>
        <v>0</v>
      </c>
      <c r="L46" s="14"/>
      <c r="M46" s="2">
        <f t="shared" si="6"/>
        <v>0</v>
      </c>
      <c r="N46" s="3" t="e">
        <f t="shared" si="1"/>
        <v>#DIV/0!</v>
      </c>
    </row>
    <row r="47" spans="1:14" x14ac:dyDescent="0.3">
      <c r="A47" s="6">
        <v>43</v>
      </c>
      <c r="B47" s="22"/>
      <c r="C47" s="20"/>
      <c r="D47" s="25">
        <f t="shared" si="2"/>
        <v>0</v>
      </c>
      <c r="E47" s="20"/>
      <c r="F47" s="7">
        <f t="shared" si="3"/>
        <v>0</v>
      </c>
      <c r="G47" s="21"/>
      <c r="H47" s="16"/>
      <c r="I47" s="7">
        <f t="shared" si="7"/>
        <v>0</v>
      </c>
      <c r="J47" s="9">
        <f t="shared" si="8"/>
        <v>0</v>
      </c>
      <c r="K47" s="9">
        <f t="shared" si="9"/>
        <v>0</v>
      </c>
      <c r="L47" s="14"/>
      <c r="M47" s="2">
        <f t="shared" si="6"/>
        <v>0</v>
      </c>
      <c r="N47" s="3" t="e">
        <f t="shared" si="1"/>
        <v>#DIV/0!</v>
      </c>
    </row>
    <row r="48" spans="1:14" x14ac:dyDescent="0.3">
      <c r="A48" s="6">
        <v>44</v>
      </c>
      <c r="B48" s="22"/>
      <c r="C48" s="20"/>
      <c r="D48" s="25">
        <f t="shared" si="2"/>
        <v>0</v>
      </c>
      <c r="E48" s="20"/>
      <c r="F48" s="7">
        <f t="shared" si="3"/>
        <v>0</v>
      </c>
      <c r="G48" s="21"/>
      <c r="H48" s="16"/>
      <c r="I48" s="7">
        <f t="shared" si="7"/>
        <v>0</v>
      </c>
      <c r="J48" s="9">
        <f t="shared" si="8"/>
        <v>0</v>
      </c>
      <c r="K48" s="9">
        <f t="shared" si="9"/>
        <v>0</v>
      </c>
      <c r="L48" s="14"/>
      <c r="M48" s="2">
        <f t="shared" si="6"/>
        <v>0</v>
      </c>
      <c r="N48" s="3" t="e">
        <f t="shared" si="1"/>
        <v>#DIV/0!</v>
      </c>
    </row>
    <row r="49" spans="1:14" x14ac:dyDescent="0.3">
      <c r="A49" s="6">
        <v>45</v>
      </c>
      <c r="B49" s="22"/>
      <c r="C49" s="20"/>
      <c r="D49" s="25">
        <f t="shared" si="2"/>
        <v>0</v>
      </c>
      <c r="E49" s="20"/>
      <c r="F49" s="7">
        <f t="shared" si="3"/>
        <v>0</v>
      </c>
      <c r="G49" s="21"/>
      <c r="H49" s="16"/>
      <c r="I49" s="7">
        <f t="shared" si="7"/>
        <v>0</v>
      </c>
      <c r="J49" s="9">
        <f t="shared" si="8"/>
        <v>0</v>
      </c>
      <c r="K49" s="9">
        <f t="shared" si="9"/>
        <v>0</v>
      </c>
      <c r="L49" s="14"/>
      <c r="M49" s="2">
        <f t="shared" si="6"/>
        <v>0</v>
      </c>
      <c r="N49" s="3" t="e">
        <f t="shared" si="1"/>
        <v>#DIV/0!</v>
      </c>
    </row>
    <row r="50" spans="1:14" x14ac:dyDescent="0.3">
      <c r="A50" s="6">
        <v>46</v>
      </c>
      <c r="B50" s="22"/>
      <c r="C50" s="20"/>
      <c r="D50" s="25">
        <f t="shared" si="2"/>
        <v>0</v>
      </c>
      <c r="E50" s="20"/>
      <c r="F50" s="7">
        <f t="shared" si="3"/>
        <v>0</v>
      </c>
      <c r="G50" s="21"/>
      <c r="H50" s="16"/>
      <c r="I50" s="7">
        <f t="shared" si="7"/>
        <v>0</v>
      </c>
      <c r="J50" s="9">
        <f t="shared" si="8"/>
        <v>0</v>
      </c>
      <c r="K50" s="9">
        <f t="shared" si="9"/>
        <v>0</v>
      </c>
      <c r="L50" s="14"/>
      <c r="M50" s="2">
        <f t="shared" si="6"/>
        <v>0</v>
      </c>
      <c r="N50" s="3" t="e">
        <f t="shared" si="1"/>
        <v>#DIV/0!</v>
      </c>
    </row>
    <row r="51" spans="1:14" x14ac:dyDescent="0.3">
      <c r="A51" s="6">
        <v>47</v>
      </c>
      <c r="B51" s="22"/>
      <c r="C51" s="20"/>
      <c r="D51" s="25">
        <f t="shared" si="2"/>
        <v>0</v>
      </c>
      <c r="E51" s="20"/>
      <c r="F51" s="7">
        <f t="shared" si="3"/>
        <v>0</v>
      </c>
      <c r="G51" s="21"/>
      <c r="H51" s="16"/>
      <c r="I51" s="7">
        <f t="shared" si="7"/>
        <v>0</v>
      </c>
      <c r="J51" s="9">
        <f t="shared" si="8"/>
        <v>0</v>
      </c>
      <c r="K51" s="9">
        <f t="shared" si="9"/>
        <v>0</v>
      </c>
      <c r="L51" s="14"/>
      <c r="M51" s="2">
        <f t="shared" si="6"/>
        <v>0</v>
      </c>
      <c r="N51" s="3" t="e">
        <f t="shared" si="1"/>
        <v>#DIV/0!</v>
      </c>
    </row>
    <row r="52" spans="1:14" x14ac:dyDescent="0.3">
      <c r="A52" s="6">
        <v>48</v>
      </c>
      <c r="B52" s="22"/>
      <c r="C52" s="20"/>
      <c r="D52" s="25">
        <f t="shared" si="2"/>
        <v>0</v>
      </c>
      <c r="E52" s="20"/>
      <c r="F52" s="7">
        <f t="shared" si="3"/>
        <v>0</v>
      </c>
      <c r="G52" s="21"/>
      <c r="H52" s="16"/>
      <c r="I52" s="7">
        <f t="shared" si="7"/>
        <v>0</v>
      </c>
      <c r="J52" s="9">
        <f t="shared" si="8"/>
        <v>0</v>
      </c>
      <c r="K52" s="9">
        <f t="shared" si="9"/>
        <v>0</v>
      </c>
      <c r="L52" s="14"/>
      <c r="M52" s="2">
        <f t="shared" si="6"/>
        <v>0</v>
      </c>
      <c r="N52" s="3" t="e">
        <f t="shared" si="1"/>
        <v>#DIV/0!</v>
      </c>
    </row>
    <row r="53" spans="1:14" x14ac:dyDescent="0.3">
      <c r="A53" s="6">
        <v>49</v>
      </c>
      <c r="B53" s="22"/>
      <c r="C53" s="20"/>
      <c r="D53" s="25">
        <f t="shared" si="2"/>
        <v>0</v>
      </c>
      <c r="E53" s="20"/>
      <c r="F53" s="7">
        <f t="shared" si="3"/>
        <v>0</v>
      </c>
      <c r="G53" s="21"/>
      <c r="H53" s="16"/>
      <c r="I53" s="7">
        <f t="shared" si="7"/>
        <v>0</v>
      </c>
      <c r="J53" s="9">
        <f t="shared" si="8"/>
        <v>0</v>
      </c>
      <c r="K53" s="9">
        <f t="shared" si="9"/>
        <v>0</v>
      </c>
      <c r="L53" s="14"/>
      <c r="M53" s="2">
        <f t="shared" si="6"/>
        <v>0</v>
      </c>
      <c r="N53" s="3" t="e">
        <f t="shared" si="1"/>
        <v>#DIV/0!</v>
      </c>
    </row>
    <row r="54" spans="1:14" x14ac:dyDescent="0.3">
      <c r="A54" s="6">
        <v>50</v>
      </c>
      <c r="B54" s="22"/>
      <c r="C54" s="20"/>
      <c r="D54" s="25">
        <f t="shared" si="2"/>
        <v>0</v>
      </c>
      <c r="E54" s="20"/>
      <c r="F54" s="7">
        <f t="shared" si="3"/>
        <v>0</v>
      </c>
      <c r="G54" s="21"/>
      <c r="H54" s="16"/>
      <c r="I54" s="7">
        <f t="shared" si="7"/>
        <v>0</v>
      </c>
      <c r="J54" s="9">
        <f t="shared" si="8"/>
        <v>0</v>
      </c>
      <c r="K54" s="9">
        <f t="shared" si="9"/>
        <v>0</v>
      </c>
      <c r="L54" s="14"/>
      <c r="M54" s="2">
        <f t="shared" si="6"/>
        <v>0</v>
      </c>
      <c r="N54" s="3" t="e">
        <f t="shared" si="1"/>
        <v>#DIV/0!</v>
      </c>
    </row>
    <row r="55" spans="1:14" x14ac:dyDescent="0.3">
      <c r="A55" s="6">
        <v>51</v>
      </c>
      <c r="B55" s="22"/>
      <c r="C55" s="20"/>
      <c r="D55" s="25">
        <f t="shared" si="2"/>
        <v>0</v>
      </c>
      <c r="E55" s="20"/>
      <c r="F55" s="7">
        <f t="shared" si="3"/>
        <v>0</v>
      </c>
      <c r="G55" s="21"/>
      <c r="H55" s="16"/>
      <c r="I55" s="7">
        <f t="shared" si="7"/>
        <v>0</v>
      </c>
      <c r="J55" s="9">
        <f t="shared" si="8"/>
        <v>0</v>
      </c>
      <c r="K55" s="9">
        <f t="shared" si="9"/>
        <v>0</v>
      </c>
      <c r="L55" s="14"/>
      <c r="M55" s="2">
        <f t="shared" si="6"/>
        <v>0</v>
      </c>
      <c r="N55" s="3" t="e">
        <f t="shared" si="1"/>
        <v>#DIV/0!</v>
      </c>
    </row>
    <row r="56" spans="1:14" x14ac:dyDescent="0.3">
      <c r="A56" s="6">
        <v>52</v>
      </c>
      <c r="B56" s="22"/>
      <c r="C56" s="20"/>
      <c r="D56" s="25">
        <f t="shared" si="2"/>
        <v>0</v>
      </c>
      <c r="E56" s="20"/>
      <c r="F56" s="7">
        <f t="shared" si="3"/>
        <v>0</v>
      </c>
      <c r="G56" s="21"/>
      <c r="H56" s="16"/>
      <c r="I56" s="7">
        <f t="shared" si="7"/>
        <v>0</v>
      </c>
      <c r="J56" s="9">
        <f t="shared" si="8"/>
        <v>0</v>
      </c>
      <c r="K56" s="9">
        <f t="shared" si="9"/>
        <v>0</v>
      </c>
      <c r="L56" s="14"/>
      <c r="M56" s="2">
        <f t="shared" si="6"/>
        <v>0</v>
      </c>
      <c r="N56" s="3" t="e">
        <f t="shared" si="1"/>
        <v>#DIV/0!</v>
      </c>
    </row>
    <row r="57" spans="1:14" x14ac:dyDescent="0.3">
      <c r="A57" s="6">
        <v>53</v>
      </c>
      <c r="B57" s="22"/>
      <c r="C57" s="20"/>
      <c r="D57" s="25">
        <f t="shared" si="2"/>
        <v>0</v>
      </c>
      <c r="E57" s="20"/>
      <c r="F57" s="7">
        <f t="shared" si="3"/>
        <v>0</v>
      </c>
      <c r="G57" s="21"/>
      <c r="H57" s="16"/>
      <c r="I57" s="7">
        <f t="shared" si="7"/>
        <v>0</v>
      </c>
      <c r="J57" s="9">
        <f t="shared" si="8"/>
        <v>0</v>
      </c>
      <c r="K57" s="9">
        <f t="shared" si="9"/>
        <v>0</v>
      </c>
      <c r="L57" s="14"/>
      <c r="M57" s="2">
        <f t="shared" si="6"/>
        <v>0</v>
      </c>
      <c r="N57" s="3" t="e">
        <f t="shared" si="1"/>
        <v>#DIV/0!</v>
      </c>
    </row>
    <row r="58" spans="1:14" x14ac:dyDescent="0.3">
      <c r="A58" s="6">
        <v>54</v>
      </c>
      <c r="B58" s="22"/>
      <c r="C58" s="20"/>
      <c r="D58" s="25">
        <f t="shared" si="2"/>
        <v>0</v>
      </c>
      <c r="E58" s="20"/>
      <c r="F58" s="7">
        <f t="shared" si="3"/>
        <v>0</v>
      </c>
      <c r="G58" s="21"/>
      <c r="H58" s="16"/>
      <c r="I58" s="7">
        <f t="shared" si="7"/>
        <v>0</v>
      </c>
      <c r="J58" s="9">
        <f t="shared" si="8"/>
        <v>0</v>
      </c>
      <c r="K58" s="9">
        <f t="shared" si="9"/>
        <v>0</v>
      </c>
      <c r="L58" s="14"/>
      <c r="M58" s="2">
        <f t="shared" si="6"/>
        <v>0</v>
      </c>
      <c r="N58" s="3" t="e">
        <f t="shared" si="1"/>
        <v>#DIV/0!</v>
      </c>
    </row>
    <row r="59" spans="1:14" x14ac:dyDescent="0.3">
      <c r="A59" s="6">
        <v>55</v>
      </c>
      <c r="B59" s="22"/>
      <c r="C59" s="20"/>
      <c r="D59" s="25">
        <f t="shared" si="2"/>
        <v>0</v>
      </c>
      <c r="E59" s="20"/>
      <c r="F59" s="7">
        <f t="shared" si="3"/>
        <v>0</v>
      </c>
      <c r="G59" s="21"/>
      <c r="H59" s="16"/>
      <c r="I59" s="7">
        <f t="shared" si="7"/>
        <v>0</v>
      </c>
      <c r="J59" s="9">
        <f t="shared" si="8"/>
        <v>0</v>
      </c>
      <c r="K59" s="9">
        <f t="shared" si="9"/>
        <v>0</v>
      </c>
      <c r="L59" s="14"/>
      <c r="M59" s="2">
        <f t="shared" si="6"/>
        <v>0</v>
      </c>
      <c r="N59" s="3" t="e">
        <f t="shared" si="1"/>
        <v>#DIV/0!</v>
      </c>
    </row>
    <row r="60" spans="1:14" x14ac:dyDescent="0.3">
      <c r="A60" s="6">
        <v>56</v>
      </c>
      <c r="B60" s="22"/>
      <c r="C60" s="20"/>
      <c r="D60" s="25">
        <f t="shared" si="2"/>
        <v>0</v>
      </c>
      <c r="E60" s="20"/>
      <c r="F60" s="7">
        <f t="shared" si="3"/>
        <v>0</v>
      </c>
      <c r="G60" s="21"/>
      <c r="H60" s="16"/>
      <c r="I60" s="7">
        <f t="shared" si="7"/>
        <v>0</v>
      </c>
      <c r="J60" s="9">
        <f t="shared" si="8"/>
        <v>0</v>
      </c>
      <c r="K60" s="9">
        <f t="shared" si="9"/>
        <v>0</v>
      </c>
      <c r="L60" s="14"/>
      <c r="M60" s="2">
        <f t="shared" si="6"/>
        <v>0</v>
      </c>
      <c r="N60" s="3" t="e">
        <f t="shared" si="1"/>
        <v>#DIV/0!</v>
      </c>
    </row>
    <row r="61" spans="1:14" x14ac:dyDescent="0.3">
      <c r="A61" s="6">
        <v>57</v>
      </c>
      <c r="B61" s="22"/>
      <c r="C61" s="20"/>
      <c r="D61" s="25">
        <f t="shared" si="2"/>
        <v>0</v>
      </c>
      <c r="E61" s="20"/>
      <c r="F61" s="7">
        <f t="shared" si="3"/>
        <v>0</v>
      </c>
      <c r="G61" s="21"/>
      <c r="H61" s="16"/>
      <c r="I61" s="7">
        <f t="shared" si="7"/>
        <v>0</v>
      </c>
      <c r="J61" s="9">
        <f t="shared" si="8"/>
        <v>0</v>
      </c>
      <c r="K61" s="9">
        <f t="shared" si="9"/>
        <v>0</v>
      </c>
      <c r="L61" s="14"/>
      <c r="M61" s="2">
        <f t="shared" si="6"/>
        <v>0</v>
      </c>
      <c r="N61" s="3" t="e">
        <f t="shared" si="1"/>
        <v>#DIV/0!</v>
      </c>
    </row>
    <row r="62" spans="1:14" x14ac:dyDescent="0.3">
      <c r="A62" s="6">
        <v>58</v>
      </c>
      <c r="B62" s="22"/>
      <c r="C62" s="20"/>
      <c r="D62" s="25">
        <f t="shared" si="2"/>
        <v>0</v>
      </c>
      <c r="E62" s="20"/>
      <c r="F62" s="7">
        <f t="shared" si="3"/>
        <v>0</v>
      </c>
      <c r="G62" s="21"/>
      <c r="H62" s="16"/>
      <c r="I62" s="7">
        <f t="shared" si="7"/>
        <v>0</v>
      </c>
      <c r="J62" s="9">
        <f t="shared" si="8"/>
        <v>0</v>
      </c>
      <c r="K62" s="9">
        <f t="shared" si="9"/>
        <v>0</v>
      </c>
      <c r="L62" s="14"/>
      <c r="M62" s="2">
        <f t="shared" si="6"/>
        <v>0</v>
      </c>
      <c r="N62" s="3" t="e">
        <f t="shared" si="1"/>
        <v>#DIV/0!</v>
      </c>
    </row>
    <row r="63" spans="1:14" x14ac:dyDescent="0.3">
      <c r="A63" s="6">
        <v>59</v>
      </c>
      <c r="B63" s="22"/>
      <c r="C63" s="20"/>
      <c r="D63" s="25">
        <f t="shared" si="2"/>
        <v>0</v>
      </c>
      <c r="E63" s="20"/>
      <c r="F63" s="7">
        <f t="shared" si="3"/>
        <v>0</v>
      </c>
      <c r="G63" s="21"/>
      <c r="H63" s="16"/>
      <c r="I63" s="7">
        <f t="shared" si="7"/>
        <v>0</v>
      </c>
      <c r="J63" s="9">
        <f t="shared" si="8"/>
        <v>0</v>
      </c>
      <c r="K63" s="9">
        <f t="shared" si="9"/>
        <v>0</v>
      </c>
      <c r="L63" s="14"/>
      <c r="M63" s="2">
        <f t="shared" si="6"/>
        <v>0</v>
      </c>
      <c r="N63" s="3" t="e">
        <f t="shared" si="1"/>
        <v>#DIV/0!</v>
      </c>
    </row>
    <row r="64" spans="1:14" x14ac:dyDescent="0.3">
      <c r="A64" s="6">
        <v>60</v>
      </c>
      <c r="B64" s="22"/>
      <c r="C64" s="20"/>
      <c r="D64" s="25">
        <f t="shared" si="2"/>
        <v>0</v>
      </c>
      <c r="E64" s="20"/>
      <c r="F64" s="7">
        <f t="shared" si="3"/>
        <v>0</v>
      </c>
      <c r="G64" s="21"/>
      <c r="H64" s="16"/>
      <c r="I64" s="7">
        <f t="shared" si="4"/>
        <v>0</v>
      </c>
      <c r="J64" s="9">
        <f>ROUNDDOWN(F64*$F$4, -1)</f>
        <v>0</v>
      </c>
      <c r="K64" s="9">
        <f t="shared" si="5"/>
        <v>0</v>
      </c>
      <c r="L64" s="14"/>
      <c r="M64" s="2">
        <f t="shared" si="6"/>
        <v>0</v>
      </c>
      <c r="N64" s="3" t="e">
        <f t="shared" si="1"/>
        <v>#DIV/0!</v>
      </c>
    </row>
    <row r="65" spans="1:14" x14ac:dyDescent="0.3">
      <c r="A65" s="27" t="s">
        <v>11</v>
      </c>
      <c r="B65" s="28"/>
      <c r="C65" s="28"/>
      <c r="D65" s="28"/>
      <c r="E65" s="28"/>
      <c r="F65" s="28"/>
      <c r="G65" s="28"/>
      <c r="H65" s="29"/>
      <c r="I65" s="15">
        <f>SUM(I6:I64)</f>
        <v>117000000</v>
      </c>
      <c r="J65" s="10"/>
      <c r="K65" s="11"/>
      <c r="L65" s="11"/>
      <c r="N65" s="18"/>
    </row>
    <row r="66" spans="1:14" x14ac:dyDescent="0.3">
      <c r="A66" s="8"/>
    </row>
    <row r="67" spans="1:14" x14ac:dyDescent="0.3">
      <c r="A67" s="8"/>
    </row>
    <row r="68" spans="1:14" x14ac:dyDescent="0.3">
      <c r="A68" s="8"/>
    </row>
    <row r="75" spans="1:14" ht="16.5" customHeight="1" x14ac:dyDescent="0.3"/>
    <row r="76" spans="1:14" ht="16.5" customHeight="1" x14ac:dyDescent="0.3"/>
    <row r="77" spans="1:14" ht="16.5" customHeight="1" x14ac:dyDescent="0.3"/>
  </sheetData>
  <mergeCells count="8">
    <mergeCell ref="A1:N1"/>
    <mergeCell ref="A65:H65"/>
    <mergeCell ref="F4:H4"/>
    <mergeCell ref="I3:N3"/>
    <mergeCell ref="I2:N2"/>
    <mergeCell ref="I4:N4"/>
    <mergeCell ref="A2:E3"/>
    <mergeCell ref="A4:E4"/>
  </mergeCells>
  <phoneticPr fontId="2" type="noConversion"/>
  <dataValidations count="1">
    <dataValidation type="whole" operator="greaterThanOrEqual" allowBlank="1" showInputMessage="1" showErrorMessage="1" sqref="G6:G64" xr:uid="{00000000-0002-0000-0000-000000000000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수강료결정서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user</cp:lastModifiedBy>
  <cp:lastPrinted>2019-02-18T13:09:00Z</cp:lastPrinted>
  <dcterms:created xsi:type="dcterms:W3CDTF">2015-11-25T01:57:00Z</dcterms:created>
  <dcterms:modified xsi:type="dcterms:W3CDTF">2026-01-05T04:49:46Z</dcterms:modified>
</cp:coreProperties>
</file>