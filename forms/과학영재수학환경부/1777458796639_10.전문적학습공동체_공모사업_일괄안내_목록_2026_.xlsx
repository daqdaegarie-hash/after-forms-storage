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. 임수현\2. 일괄선정 정책공모사업\1. 2026. 일괄안내 사업(전학공_동아리)\3. 학교 알림\"/>
    </mc:Choice>
  </mc:AlternateContent>
  <xr:revisionPtr revIDLastSave="0" documentId="13_ncr:1_{FD3D5DA3-C794-4F95-A85F-437F586320DA}" xr6:coauthVersionLast="47" xr6:coauthVersionMax="47" xr10:uidLastSave="{00000000-0000-0000-0000-000000000000}"/>
  <bookViews>
    <workbookView xWindow="-120" yWindow="-120" windowWidth="29040" windowHeight="15720" xr2:uid="{ABAB20F7-63F0-4486-AD45-F687E8F0E80F}"/>
  </bookViews>
  <sheets>
    <sheet name="전문적학습공동체" sheetId="1" r:id="rId1"/>
    <sheet name="Sheet1" sheetId="3" state="hidden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1" l="1"/>
  <c r="J13" i="1"/>
  <c r="J11" i="1"/>
  <c r="J7" i="1"/>
  <c r="J6" i="1"/>
  <c r="J5" i="1"/>
  <c r="J15" i="1"/>
  <c r="J16" i="1"/>
  <c r="J8" i="1"/>
  <c r="J9" i="1"/>
  <c r="J10" i="1"/>
</calcChain>
</file>

<file path=xl/sharedStrings.xml><?xml version="1.0" encoding="utf-8"?>
<sst xmlns="http://schemas.openxmlformats.org/spreadsheetml/2006/main" count="119" uniqueCount="98">
  <si>
    <t>순</t>
    <phoneticPr fontId="1" type="noConversion"/>
  </si>
  <si>
    <t>사업명</t>
    <phoneticPr fontId="1" type="noConversion"/>
  </si>
  <si>
    <t>유</t>
    <phoneticPr fontId="1" type="noConversion"/>
  </si>
  <si>
    <t>초</t>
    <phoneticPr fontId="1" type="noConversion"/>
  </si>
  <si>
    <t>중</t>
    <phoneticPr fontId="1" type="noConversion"/>
  </si>
  <si>
    <t>고</t>
    <phoneticPr fontId="1" type="noConversion"/>
  </si>
  <si>
    <t>특</t>
    <phoneticPr fontId="1" type="noConversion"/>
  </si>
  <si>
    <t>계</t>
    <phoneticPr fontId="1" type="noConversion"/>
  </si>
  <si>
    <t>비고</t>
    <phoneticPr fontId="1" type="noConversion"/>
  </si>
  <si>
    <t>일괄공모(정책기획관)</t>
    <phoneticPr fontId="1" type="noConversion"/>
  </si>
  <si>
    <t>별도공모(부서 자체)</t>
    <phoneticPr fontId="1" type="noConversion"/>
  </si>
  <si>
    <t>비고</t>
    <phoneticPr fontId="1" type="noConversion"/>
  </si>
  <si>
    <t>구분</t>
    <phoneticPr fontId="1" type="noConversion"/>
  </si>
  <si>
    <t>전문적학습공동체</t>
    <phoneticPr fontId="1" type="noConversion"/>
  </si>
  <si>
    <t>학생동아리</t>
    <phoneticPr fontId="1" type="noConversion"/>
  </si>
  <si>
    <t>게시번호*</t>
    <phoneticPr fontId="1" type="noConversion"/>
  </si>
  <si>
    <r>
      <t>대상 및 공모(팀) 수</t>
    </r>
    <r>
      <rPr>
        <b/>
        <sz val="10"/>
        <color theme="1"/>
        <rFont val="맑은 고딕"/>
        <family val="3"/>
        <charset val="129"/>
        <scheme val="minor"/>
      </rPr>
      <t xml:space="preserve"> (국립학교 포함인 경우 비고에 기재)</t>
    </r>
    <phoneticPr fontId="1" type="noConversion"/>
  </si>
  <si>
    <t>담당자명</t>
    <phoneticPr fontId="1" type="noConversion"/>
  </si>
  <si>
    <t>사무실
전화번호</t>
    <phoneticPr fontId="1" type="noConversion"/>
  </si>
  <si>
    <t>부서(담당)/
직속기관(부서)</t>
    <phoneticPr fontId="1" type="noConversion"/>
  </si>
  <si>
    <t>268-1164</t>
    <phoneticPr fontId="1" type="noConversion"/>
  </si>
  <si>
    <t>이승희</t>
    <phoneticPr fontId="1" type="noConversion"/>
  </si>
  <si>
    <t>26-162807</t>
    <phoneticPr fontId="1" type="noConversion"/>
  </si>
  <si>
    <t>초,중,고 6팀(신청 상황에 따라 변동 가능)</t>
    <phoneticPr fontId="1" type="noConversion"/>
  </si>
  <si>
    <t>2026. 역사현장답사단 전문적학습공동체</t>
    <phoneticPr fontId="1" type="noConversion"/>
  </si>
  <si>
    <t>전문적학습공동체</t>
  </si>
  <si>
    <t>중등교육과(역사교육담당)</t>
    <phoneticPr fontId="1" type="noConversion"/>
  </si>
  <si>
    <t>268-1163</t>
    <phoneticPr fontId="1" type="noConversion"/>
  </si>
  <si>
    <t>이지영</t>
    <phoneticPr fontId="1" type="noConversion"/>
  </si>
  <si>
    <t>26-162814</t>
    <phoneticPr fontId="1" type="noConversion"/>
  </si>
  <si>
    <t>중,고 40팀(신청 상황에 따라 변동 가능)</t>
    <phoneticPr fontId="1" type="noConversion"/>
  </si>
  <si>
    <t>2026. 중등 수업-평가 나눔형 전문적학습공동체</t>
    <phoneticPr fontId="1" type="noConversion"/>
  </si>
  <si>
    <t>중등교육과(수업담당)</t>
    <phoneticPr fontId="1" type="noConversion"/>
  </si>
  <si>
    <t>26-162813</t>
    <phoneticPr fontId="1" type="noConversion"/>
  </si>
  <si>
    <t>중,고 25팀(신청 상황에 따라 변동 가능)</t>
    <phoneticPr fontId="1" type="noConversion"/>
  </si>
  <si>
    <t>2026. 중등 수업-평가 연구형 전문적학습공동체</t>
    <phoneticPr fontId="1" type="noConversion"/>
  </si>
  <si>
    <t>210-5273</t>
    <phoneticPr fontId="1" type="noConversion"/>
  </si>
  <si>
    <t>이종원</t>
    <phoneticPr fontId="1" type="noConversion"/>
  </si>
  <si>
    <t>26-162314</t>
    <phoneticPr fontId="1" type="noConversion"/>
  </si>
  <si>
    <t>초,중,고대상(구분없음)</t>
  </si>
  <si>
    <t>회복적생활교육 전문적학습공동체</t>
    <phoneticPr fontId="1" type="noConversion"/>
  </si>
  <si>
    <t>210-5185</t>
    <phoneticPr fontId="1" type="noConversion"/>
  </si>
  <si>
    <t>이진경</t>
    <phoneticPr fontId="1" type="noConversion"/>
  </si>
  <si>
    <t>26-162239</t>
    <phoneticPr fontId="1" type="noConversion"/>
  </si>
  <si>
    <t>국립학교 포함</t>
    <phoneticPr fontId="1" type="noConversion"/>
  </si>
  <si>
    <t>2026. 식단탐구 전문적학습공동체</t>
    <phoneticPr fontId="1" type="noConversion"/>
  </si>
  <si>
    <t>교육복지과(급식담당)</t>
    <phoneticPr fontId="1" type="noConversion"/>
  </si>
  <si>
    <t>학교급별 공모팀 미정</t>
    <phoneticPr fontId="1" type="noConversion"/>
  </si>
  <si>
    <t>570-5513</t>
    <phoneticPr fontId="1" type="noConversion"/>
  </si>
  <si>
    <t>김주환</t>
    <phoneticPr fontId="1" type="noConversion"/>
  </si>
  <si>
    <t>26-162244</t>
    <phoneticPr fontId="1" type="noConversion"/>
  </si>
  <si>
    <t>2026. 지역연합 전문적학습공동체 지원</t>
    <phoneticPr fontId="1" type="noConversion"/>
  </si>
  <si>
    <t>2026 예술교육 전문적학습공동체</t>
    <phoneticPr fontId="1" type="noConversion"/>
  </si>
  <si>
    <t>초,중,고 20교(신청 상황에 따라 변동 가능)</t>
    <phoneticPr fontId="1" type="noConversion"/>
  </si>
  <si>
    <t>강건식</t>
    <phoneticPr fontId="1" type="noConversion"/>
  </si>
  <si>
    <t>268-1082</t>
    <phoneticPr fontId="1" type="noConversion"/>
  </si>
  <si>
    <t>지원현황에 따라 지원금 변동</t>
  </si>
  <si>
    <t>유아특수교육과(특수교육담당)</t>
    <phoneticPr fontId="1" type="noConversion"/>
  </si>
  <si>
    <t>2026. 특수교육 전문적학습공동체</t>
    <phoneticPr fontId="1" type="noConversion"/>
  </si>
  <si>
    <t>26-162897</t>
    <phoneticPr fontId="1" type="noConversion"/>
  </si>
  <si>
    <t>조혜진</t>
    <phoneticPr fontId="1" type="noConversion"/>
  </si>
  <si>
    <t>268-1024</t>
    <phoneticPr fontId="1" type="noConversion"/>
  </si>
  <si>
    <t>초등교육과(초등장학담당)</t>
    <phoneticPr fontId="1" type="noConversion"/>
  </si>
  <si>
    <t>2026. 초등 배움중심수업 전문적학습공동체</t>
    <phoneticPr fontId="1" type="noConversion"/>
  </si>
  <si>
    <t>26-162910</t>
    <phoneticPr fontId="1" type="noConversion"/>
  </si>
  <si>
    <t>안혜진</t>
    <phoneticPr fontId="1" type="noConversion"/>
  </si>
  <si>
    <t>268-1114</t>
    <phoneticPr fontId="1" type="noConversion"/>
  </si>
  <si>
    <t>2026. 탐구와 질문 중심 수업혁신 전문적학습공동체</t>
    <phoneticPr fontId="1" type="noConversion"/>
  </si>
  <si>
    <t>26-162911</t>
    <phoneticPr fontId="1" type="noConversion"/>
  </si>
  <si>
    <t>210-5133</t>
    <phoneticPr fontId="1" type="noConversion"/>
  </si>
  <si>
    <t>구인숙</t>
    <phoneticPr fontId="1" type="noConversion"/>
  </si>
  <si>
    <t>26-162825</t>
    <phoneticPr fontId="1" type="noConversion"/>
  </si>
  <si>
    <t>국립학교 제외</t>
    <phoneticPr fontId="1" type="noConversion"/>
  </si>
  <si>
    <t>2026년 수학교육 전문적학습공동체</t>
    <phoneticPr fontId="1" type="noConversion"/>
  </si>
  <si>
    <t>창의인재과(융합교육담당)</t>
    <phoneticPr fontId="1" type="noConversion"/>
  </si>
  <si>
    <t>210-5135</t>
    <phoneticPr fontId="1" type="noConversion"/>
  </si>
  <si>
    <t>김은란</t>
    <phoneticPr fontId="1" type="noConversion"/>
  </si>
  <si>
    <t>26-162849</t>
    <phoneticPr fontId="1" type="noConversion"/>
  </si>
  <si>
    <t>초,중,고 5교(신청 상황에 따라 변동 가능)</t>
    <phoneticPr fontId="1" type="noConversion"/>
  </si>
  <si>
    <t>2026. 과학 전문적학습공동체</t>
    <phoneticPr fontId="1" type="noConversion"/>
  </si>
  <si>
    <t>210-5134</t>
    <phoneticPr fontId="1" type="noConversion"/>
  </si>
  <si>
    <t>이준희</t>
    <phoneticPr fontId="1" type="noConversion"/>
  </si>
  <si>
    <t>26-162811</t>
    <phoneticPr fontId="1" type="noConversion"/>
  </si>
  <si>
    <t>초,중,고대상(구분없음)</t>
    <phoneticPr fontId="1" type="noConversion"/>
  </si>
  <si>
    <t>2026년 정보교육 전문적학습공동체</t>
    <phoneticPr fontId="1" type="noConversion"/>
  </si>
  <si>
    <t>학교별(팀별)
지원 예산
(단위:천원)</t>
    <phoneticPr fontId="1" type="noConversion"/>
  </si>
  <si>
    <t>26-163064</t>
    <phoneticPr fontId="1" type="noConversion"/>
  </si>
  <si>
    <t>2026. 유아교육 전문적학습공동체 운영</t>
    <phoneticPr fontId="1" type="noConversion"/>
  </si>
  <si>
    <t>초등교원 포함 가능</t>
    <phoneticPr fontId="1" type="noConversion"/>
  </si>
  <si>
    <t>26-163007</t>
    <phoneticPr fontId="1" type="noConversion"/>
  </si>
  <si>
    <t>이미영</t>
    <phoneticPr fontId="1" type="noConversion"/>
  </si>
  <si>
    <t>237-8084</t>
    <phoneticPr fontId="1" type="noConversion"/>
  </si>
  <si>
    <t>2026. 전문적학습공동체 일괄안내 목록</t>
    <phoneticPr fontId="1" type="noConversion"/>
  </si>
  <si>
    <t>민주시민교육과(학교폭력담당)</t>
    <phoneticPr fontId="1" type="noConversion"/>
  </si>
  <si>
    <t>체육예술건강과(예술교육담당)</t>
    <phoneticPr fontId="1" type="noConversion"/>
  </si>
  <si>
    <t>경상남도교육청
미래교육원(미래기획부)</t>
    <phoneticPr fontId="1" type="noConversion"/>
  </si>
  <si>
    <t>경상남도교육청
유아교육원(교육지원과)</t>
    <phoneticPr fontId="1" type="noConversion"/>
  </si>
  <si>
    <r>
      <t>*</t>
    </r>
    <r>
      <rPr>
        <b/>
        <sz val="14"/>
        <color rgb="FF0000FF"/>
        <rFont val="맑은 고딕"/>
        <family val="3"/>
        <charset val="129"/>
        <scheme val="minor"/>
      </rPr>
      <t xml:space="preserve"> ‘K-에듀파인/업무관리/업무지원/알림판/일반게시판/전문적학습공동체 및 동아리 운영 계획’에 공모 계획 탑재되어 있음</t>
    </r>
    <r>
      <rPr>
        <b/>
        <sz val="14"/>
        <color theme="1"/>
        <rFont val="맑은 고딕"/>
        <family val="3"/>
        <charset val="129"/>
        <scheme val="minor"/>
      </rPr>
      <t xml:space="preserve">
* 학교에서는 게시된 사업별 공모 계획 확인 후 해당 부서에 신청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</si>
</sst>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0" applyNumberFormat="1" applyAlignment="1">
      <alignment horizontal="right" vertical="center" shrinkToFit="1"/>
    </xf>
    <xf numFmtId="0" fontId="0" fillId="0" borderId="0" xfId="0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shrinkToFit="1"/>
    </xf>
    <xf numFmtId="0" fontId="0" fillId="0" borderId="13" xfId="0" applyFill="1" applyBorder="1" applyAlignment="1">
      <alignment horizontal="center" vertical="center" shrinkToFit="1"/>
    </xf>
    <xf numFmtId="176" fontId="0" fillId="0" borderId="13" xfId="0" applyNumberFormat="1" applyFill="1" applyBorder="1" applyAlignment="1">
      <alignment horizontal="right" vertical="center" shrinkToFit="1"/>
    </xf>
    <xf numFmtId="0" fontId="5" fillId="0" borderId="13" xfId="0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0" fillId="0" borderId="5" xfId="0" applyFill="1" applyBorder="1" applyAlignment="1">
      <alignment horizontal="center" vertical="center" shrinkToFit="1"/>
    </xf>
    <xf numFmtId="0" fontId="0" fillId="0" borderId="9" xfId="0" applyFill="1" applyBorder="1" applyAlignment="1">
      <alignment horizontal="center" vertical="center" shrinkToFit="1"/>
    </xf>
    <xf numFmtId="0" fontId="0" fillId="0" borderId="10" xfId="0" applyFill="1" applyBorder="1" applyAlignment="1">
      <alignment horizontal="center" vertical="center" shrinkToFit="1"/>
    </xf>
    <xf numFmtId="176" fontId="0" fillId="0" borderId="10" xfId="0" applyNumberFormat="1" applyFill="1" applyBorder="1" applyAlignment="1">
      <alignment horizontal="right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wrapText="1" shrinkToFit="1"/>
    </xf>
    <xf numFmtId="0" fontId="0" fillId="0" borderId="10" xfId="0" applyFill="1" applyBorder="1" applyAlignment="1">
      <alignment horizontal="center" vertical="center" wrapText="1" shrinkToFit="1"/>
    </xf>
    <xf numFmtId="0" fontId="0" fillId="0" borderId="0" xfId="0" applyFill="1">
      <alignment vertical="center"/>
    </xf>
    <xf numFmtId="0" fontId="6" fillId="4" borderId="16" xfId="0" applyFont="1" applyFill="1" applyBorder="1" applyAlignment="1">
      <alignment horizontal="left" vertical="center" wrapText="1" shrinkToFit="1"/>
    </xf>
    <xf numFmtId="0" fontId="6" fillId="4" borderId="0" xfId="0" applyFont="1" applyFill="1" applyBorder="1" applyAlignment="1">
      <alignment horizontal="left" vertical="center" wrapText="1" shrinkToFit="1"/>
    </xf>
    <xf numFmtId="0" fontId="3" fillId="3" borderId="3" xfId="0" applyFont="1" applyFill="1" applyBorder="1" applyAlignment="1">
      <alignment horizontal="center" vertical="center" wrapText="1" shrinkToFit="1"/>
    </xf>
    <xf numFmtId="0" fontId="3" fillId="3" borderId="7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8" xfId="0" applyFont="1" applyFill="1" applyBorder="1" applyAlignment="1">
      <alignment horizontal="center" vertical="center" shrinkToFit="1"/>
    </xf>
    <xf numFmtId="0" fontId="3" fillId="3" borderId="12" xfId="0" applyFont="1" applyFill="1" applyBorder="1" applyAlignment="1">
      <alignment horizontal="center" vertical="center" shrinkToFit="1"/>
    </xf>
    <xf numFmtId="176" fontId="3" fillId="3" borderId="3" xfId="0" applyNumberFormat="1" applyFont="1" applyFill="1" applyBorder="1" applyAlignment="1">
      <alignment horizontal="center" vertical="center" wrapText="1" shrinkToFit="1"/>
    </xf>
    <xf numFmtId="176" fontId="3" fillId="3" borderId="7" xfId="0" applyNumberFormat="1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8A39-1D30-4B82-A7A2-3B23621669DD}">
  <dimension ref="A1:P22"/>
  <sheetViews>
    <sheetView tabSelected="1" view="pageBreakPreview" zoomScale="110" zoomScaleNormal="100" zoomScaleSheetLayoutView="110" workbookViewId="0">
      <selection activeCell="P8" sqref="P8"/>
    </sheetView>
  </sheetViews>
  <sheetFormatPr defaultRowHeight="16.5" x14ac:dyDescent="0.3"/>
  <cols>
    <col min="1" max="1" width="4.5" style="1" customWidth="1"/>
    <col min="2" max="2" width="22.5" style="1" customWidth="1"/>
    <col min="3" max="3" width="18" style="1" customWidth="1"/>
    <col min="4" max="4" width="29.875" style="1" customWidth="1"/>
    <col min="5" max="10" width="4.625" style="1" customWidth="1"/>
    <col min="11" max="11" width="23.75" style="1" customWidth="1"/>
    <col min="12" max="12" width="13.5" style="2" customWidth="1"/>
    <col min="13" max="13" width="13.875" style="1" customWidth="1"/>
    <col min="14" max="14" width="11.875" style="1" customWidth="1"/>
    <col min="15" max="15" width="12" style="3" customWidth="1"/>
    <col min="16" max="16" width="14.375" style="3" customWidth="1"/>
  </cols>
  <sheetData>
    <row r="1" spans="1:16" ht="38.25" x14ac:dyDescent="0.3">
      <c r="A1" s="27" t="s">
        <v>92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9.75" customHeight="1" thickBot="1" x14ac:dyDescent="0.35"/>
    <row r="3" spans="1:16" ht="33" customHeight="1" x14ac:dyDescent="0.3">
      <c r="A3" s="28" t="s">
        <v>0</v>
      </c>
      <c r="B3" s="25" t="s">
        <v>19</v>
      </c>
      <c r="C3" s="25" t="s">
        <v>12</v>
      </c>
      <c r="D3" s="30" t="s">
        <v>1</v>
      </c>
      <c r="E3" s="30" t="s">
        <v>16</v>
      </c>
      <c r="F3" s="30"/>
      <c r="G3" s="30"/>
      <c r="H3" s="30"/>
      <c r="I3" s="30"/>
      <c r="J3" s="30"/>
      <c r="K3" s="30"/>
      <c r="L3" s="33" t="s">
        <v>85</v>
      </c>
      <c r="M3" s="30" t="s">
        <v>15</v>
      </c>
      <c r="N3" s="30" t="s">
        <v>17</v>
      </c>
      <c r="O3" s="25" t="s">
        <v>18</v>
      </c>
      <c r="P3" s="31" t="s">
        <v>8</v>
      </c>
    </row>
    <row r="4" spans="1:16" ht="21" customHeight="1" thickBot="1" x14ac:dyDescent="0.35">
      <c r="A4" s="29"/>
      <c r="B4" s="26"/>
      <c r="C4" s="35"/>
      <c r="D4" s="26"/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11</v>
      </c>
      <c r="L4" s="34"/>
      <c r="M4" s="26"/>
      <c r="N4" s="26"/>
      <c r="O4" s="26"/>
      <c r="P4" s="32"/>
    </row>
    <row r="5" spans="1:16" s="22" customFormat="1" ht="23.1" customHeight="1" thickTop="1" x14ac:dyDescent="0.3">
      <c r="A5" s="5">
        <v>1</v>
      </c>
      <c r="B5" s="6" t="s">
        <v>57</v>
      </c>
      <c r="C5" s="6" t="s">
        <v>25</v>
      </c>
      <c r="D5" s="6" t="s">
        <v>58</v>
      </c>
      <c r="E5" s="6"/>
      <c r="F5" s="6"/>
      <c r="G5" s="6"/>
      <c r="H5" s="6"/>
      <c r="I5" s="6">
        <v>5</v>
      </c>
      <c r="J5" s="6">
        <f t="shared" ref="J5" si="0">SUM(E5:I5)</f>
        <v>5</v>
      </c>
      <c r="K5" s="6"/>
      <c r="L5" s="7">
        <v>500</v>
      </c>
      <c r="M5" s="8" t="s">
        <v>59</v>
      </c>
      <c r="N5" s="6" t="s">
        <v>60</v>
      </c>
      <c r="O5" s="6" t="s">
        <v>61</v>
      </c>
      <c r="P5" s="9"/>
    </row>
    <row r="6" spans="1:16" s="22" customFormat="1" ht="23.1" customHeight="1" x14ac:dyDescent="0.3">
      <c r="A6" s="10">
        <v>2</v>
      </c>
      <c r="B6" s="11" t="s">
        <v>62</v>
      </c>
      <c r="C6" s="11" t="s">
        <v>25</v>
      </c>
      <c r="D6" s="11" t="s">
        <v>63</v>
      </c>
      <c r="E6" s="11"/>
      <c r="F6" s="11">
        <v>20</v>
      </c>
      <c r="G6" s="11"/>
      <c r="H6" s="11"/>
      <c r="I6" s="11"/>
      <c r="J6" s="11">
        <f>SUM(E6:I6)</f>
        <v>20</v>
      </c>
      <c r="K6" s="11"/>
      <c r="L6" s="12">
        <v>1000</v>
      </c>
      <c r="M6" s="13" t="s">
        <v>64</v>
      </c>
      <c r="N6" s="11" t="s">
        <v>65</v>
      </c>
      <c r="O6" s="11" t="s">
        <v>66</v>
      </c>
      <c r="P6" s="14"/>
    </row>
    <row r="7" spans="1:16" s="22" customFormat="1" ht="23.1" customHeight="1" x14ac:dyDescent="0.3">
      <c r="A7" s="10">
        <v>3</v>
      </c>
      <c r="B7" s="11" t="s">
        <v>62</v>
      </c>
      <c r="C7" s="11" t="s">
        <v>25</v>
      </c>
      <c r="D7" s="11" t="s">
        <v>67</v>
      </c>
      <c r="E7" s="11"/>
      <c r="F7" s="11">
        <v>30</v>
      </c>
      <c r="G7" s="11"/>
      <c r="H7" s="11"/>
      <c r="I7" s="11"/>
      <c r="J7" s="11">
        <f t="shared" ref="J7" si="1">SUM(E7:I7)</f>
        <v>30</v>
      </c>
      <c r="K7" s="11"/>
      <c r="L7" s="12">
        <v>1000</v>
      </c>
      <c r="M7" s="13" t="s">
        <v>68</v>
      </c>
      <c r="N7" s="11" t="s">
        <v>65</v>
      </c>
      <c r="O7" s="11" t="s">
        <v>66</v>
      </c>
      <c r="P7" s="14"/>
    </row>
    <row r="8" spans="1:16" s="22" customFormat="1" ht="23.1" customHeight="1" x14ac:dyDescent="0.3">
      <c r="A8" s="10">
        <v>4</v>
      </c>
      <c r="B8" s="11" t="s">
        <v>32</v>
      </c>
      <c r="C8" s="11" t="s">
        <v>25</v>
      </c>
      <c r="D8" s="13" t="s">
        <v>35</v>
      </c>
      <c r="E8" s="13"/>
      <c r="F8" s="13"/>
      <c r="G8" s="13">
        <v>13</v>
      </c>
      <c r="H8" s="13">
        <v>12</v>
      </c>
      <c r="I8" s="13"/>
      <c r="J8" s="13">
        <f>SUM(E8:I8)</f>
        <v>25</v>
      </c>
      <c r="K8" s="13" t="s">
        <v>34</v>
      </c>
      <c r="L8" s="12">
        <v>500</v>
      </c>
      <c r="M8" s="13" t="s">
        <v>33</v>
      </c>
      <c r="N8" s="11" t="s">
        <v>28</v>
      </c>
      <c r="O8" s="11" t="s">
        <v>27</v>
      </c>
      <c r="P8" s="14"/>
    </row>
    <row r="9" spans="1:16" s="22" customFormat="1" ht="23.1" customHeight="1" x14ac:dyDescent="0.3">
      <c r="A9" s="10">
        <v>5</v>
      </c>
      <c r="B9" s="11" t="s">
        <v>32</v>
      </c>
      <c r="C9" s="11" t="s">
        <v>25</v>
      </c>
      <c r="D9" s="13" t="s">
        <v>31</v>
      </c>
      <c r="E9" s="13"/>
      <c r="F9" s="13"/>
      <c r="G9" s="13">
        <v>20</v>
      </c>
      <c r="H9" s="13">
        <v>20</v>
      </c>
      <c r="I9" s="13"/>
      <c r="J9" s="13">
        <f>SUM(E9:I9)</f>
        <v>40</v>
      </c>
      <c r="K9" s="13" t="s">
        <v>30</v>
      </c>
      <c r="L9" s="12">
        <v>500</v>
      </c>
      <c r="M9" s="13" t="s">
        <v>29</v>
      </c>
      <c r="N9" s="11" t="s">
        <v>28</v>
      </c>
      <c r="O9" s="11" t="s">
        <v>27</v>
      </c>
      <c r="P9" s="14"/>
    </row>
    <row r="10" spans="1:16" s="22" customFormat="1" ht="23.1" customHeight="1" x14ac:dyDescent="0.3">
      <c r="A10" s="10">
        <v>6</v>
      </c>
      <c r="B10" s="11" t="s">
        <v>26</v>
      </c>
      <c r="C10" s="11" t="s">
        <v>25</v>
      </c>
      <c r="D10" s="13" t="s">
        <v>24</v>
      </c>
      <c r="E10" s="11"/>
      <c r="F10" s="11">
        <v>2</v>
      </c>
      <c r="G10" s="11">
        <v>2</v>
      </c>
      <c r="H10" s="11">
        <v>2</v>
      </c>
      <c r="I10" s="11"/>
      <c r="J10" s="11">
        <f>SUM(E10:I10)</f>
        <v>6</v>
      </c>
      <c r="K10" s="13" t="s">
        <v>23</v>
      </c>
      <c r="L10" s="12">
        <v>500</v>
      </c>
      <c r="M10" s="13" t="s">
        <v>22</v>
      </c>
      <c r="N10" s="11" t="s">
        <v>21</v>
      </c>
      <c r="O10" s="11" t="s">
        <v>20</v>
      </c>
      <c r="P10" s="14"/>
    </row>
    <row r="11" spans="1:16" s="22" customFormat="1" ht="23.1" customHeight="1" x14ac:dyDescent="0.3">
      <c r="A11" s="10">
        <v>7</v>
      </c>
      <c r="B11" s="11" t="s">
        <v>74</v>
      </c>
      <c r="C11" s="11" t="s">
        <v>25</v>
      </c>
      <c r="D11" s="11" t="s">
        <v>73</v>
      </c>
      <c r="E11" s="11"/>
      <c r="F11" s="11">
        <v>1</v>
      </c>
      <c r="G11" s="11">
        <v>1</v>
      </c>
      <c r="H11" s="11">
        <v>1</v>
      </c>
      <c r="I11" s="11"/>
      <c r="J11" s="11">
        <f>SUM(E11:I11)</f>
        <v>3</v>
      </c>
      <c r="K11" s="11" t="s">
        <v>72</v>
      </c>
      <c r="L11" s="12">
        <v>500</v>
      </c>
      <c r="M11" s="13" t="s">
        <v>71</v>
      </c>
      <c r="N11" s="11" t="s">
        <v>70</v>
      </c>
      <c r="O11" s="11" t="s">
        <v>69</v>
      </c>
      <c r="P11" s="14"/>
    </row>
    <row r="12" spans="1:16" s="22" customFormat="1" ht="23.1" customHeight="1" x14ac:dyDescent="0.3">
      <c r="A12" s="10">
        <v>8</v>
      </c>
      <c r="B12" s="11" t="s">
        <v>74</v>
      </c>
      <c r="C12" s="11" t="s">
        <v>13</v>
      </c>
      <c r="D12" s="11" t="s">
        <v>84</v>
      </c>
      <c r="E12" s="11"/>
      <c r="F12" s="11"/>
      <c r="G12" s="11"/>
      <c r="H12" s="11"/>
      <c r="I12" s="11"/>
      <c r="J12" s="11">
        <v>5</v>
      </c>
      <c r="K12" s="11" t="s">
        <v>83</v>
      </c>
      <c r="L12" s="12">
        <v>500</v>
      </c>
      <c r="M12" s="13" t="s">
        <v>82</v>
      </c>
      <c r="N12" s="11" t="s">
        <v>81</v>
      </c>
      <c r="O12" s="11" t="s">
        <v>80</v>
      </c>
      <c r="P12" s="14"/>
    </row>
    <row r="13" spans="1:16" s="22" customFormat="1" ht="23.1" customHeight="1" x14ac:dyDescent="0.3">
      <c r="A13" s="10">
        <v>9</v>
      </c>
      <c r="B13" s="11" t="s">
        <v>74</v>
      </c>
      <c r="C13" s="11" t="s">
        <v>13</v>
      </c>
      <c r="D13" s="11" t="s">
        <v>79</v>
      </c>
      <c r="E13" s="11"/>
      <c r="F13" s="11">
        <v>1</v>
      </c>
      <c r="G13" s="11">
        <v>2</v>
      </c>
      <c r="H13" s="11">
        <v>2</v>
      </c>
      <c r="I13" s="11"/>
      <c r="J13" s="11">
        <f>SUM(E13:I13)</f>
        <v>5</v>
      </c>
      <c r="K13" s="11" t="s">
        <v>78</v>
      </c>
      <c r="L13" s="12">
        <v>500</v>
      </c>
      <c r="M13" s="13" t="s">
        <v>77</v>
      </c>
      <c r="N13" s="11" t="s">
        <v>76</v>
      </c>
      <c r="O13" s="11" t="s">
        <v>75</v>
      </c>
      <c r="P13" s="14"/>
    </row>
    <row r="14" spans="1:16" s="22" customFormat="1" ht="23.1" customHeight="1" x14ac:dyDescent="0.3">
      <c r="A14" s="10">
        <v>10</v>
      </c>
      <c r="B14" s="11" t="s">
        <v>93</v>
      </c>
      <c r="C14" s="11" t="s">
        <v>13</v>
      </c>
      <c r="D14" s="11" t="s">
        <v>40</v>
      </c>
      <c r="E14" s="11"/>
      <c r="F14" s="11"/>
      <c r="G14" s="11"/>
      <c r="H14" s="11"/>
      <c r="I14" s="11"/>
      <c r="J14" s="11">
        <v>36</v>
      </c>
      <c r="K14" s="11" t="s">
        <v>39</v>
      </c>
      <c r="L14" s="12">
        <v>500</v>
      </c>
      <c r="M14" s="13" t="s">
        <v>38</v>
      </c>
      <c r="N14" s="11" t="s">
        <v>37</v>
      </c>
      <c r="O14" s="11" t="s">
        <v>36</v>
      </c>
      <c r="P14" s="14"/>
    </row>
    <row r="15" spans="1:16" s="22" customFormat="1" ht="23.1" customHeight="1" x14ac:dyDescent="0.3">
      <c r="A15" s="10">
        <v>11</v>
      </c>
      <c r="B15" s="11" t="s">
        <v>94</v>
      </c>
      <c r="C15" s="11" t="s">
        <v>25</v>
      </c>
      <c r="D15" s="11" t="s">
        <v>52</v>
      </c>
      <c r="E15" s="11"/>
      <c r="F15" s="11">
        <v>7</v>
      </c>
      <c r="G15" s="11">
        <v>7</v>
      </c>
      <c r="H15" s="11">
        <v>6</v>
      </c>
      <c r="I15" s="11"/>
      <c r="J15" s="11">
        <f t="shared" ref="J15" si="2">SUM(E15:I15)</f>
        <v>20</v>
      </c>
      <c r="K15" s="11" t="s">
        <v>53</v>
      </c>
      <c r="L15" s="12">
        <v>500</v>
      </c>
      <c r="M15" s="13" t="s">
        <v>86</v>
      </c>
      <c r="N15" s="11" t="s">
        <v>54</v>
      </c>
      <c r="O15" s="11" t="s">
        <v>55</v>
      </c>
      <c r="P15" s="14" t="s">
        <v>56</v>
      </c>
    </row>
    <row r="16" spans="1:16" s="22" customFormat="1" ht="23.1" customHeight="1" x14ac:dyDescent="0.3">
      <c r="A16" s="10">
        <v>12</v>
      </c>
      <c r="B16" s="11" t="s">
        <v>46</v>
      </c>
      <c r="C16" s="11" t="s">
        <v>25</v>
      </c>
      <c r="D16" s="11" t="s">
        <v>45</v>
      </c>
      <c r="E16" s="11">
        <v>1</v>
      </c>
      <c r="F16" s="11">
        <v>25</v>
      </c>
      <c r="G16" s="11">
        <v>15</v>
      </c>
      <c r="H16" s="11">
        <v>8</v>
      </c>
      <c r="I16" s="11">
        <v>1</v>
      </c>
      <c r="J16" s="11">
        <f>SUM(E16:I16)</f>
        <v>50</v>
      </c>
      <c r="K16" s="11" t="s">
        <v>44</v>
      </c>
      <c r="L16" s="12">
        <v>1000</v>
      </c>
      <c r="M16" s="13" t="s">
        <v>43</v>
      </c>
      <c r="N16" s="11" t="s">
        <v>42</v>
      </c>
      <c r="O16" s="11" t="s">
        <v>41</v>
      </c>
      <c r="P16" s="14"/>
    </row>
    <row r="17" spans="1:16" s="22" customFormat="1" ht="32.1" customHeight="1" x14ac:dyDescent="0.3">
      <c r="A17" s="10">
        <v>13</v>
      </c>
      <c r="B17" s="20" t="s">
        <v>95</v>
      </c>
      <c r="C17" s="11" t="s">
        <v>13</v>
      </c>
      <c r="D17" s="11" t="s">
        <v>51</v>
      </c>
      <c r="E17" s="11"/>
      <c r="F17" s="11"/>
      <c r="G17" s="11"/>
      <c r="H17" s="11"/>
      <c r="I17" s="11"/>
      <c r="J17" s="11">
        <v>30</v>
      </c>
      <c r="K17" s="11"/>
      <c r="L17" s="12">
        <v>500</v>
      </c>
      <c r="M17" s="13" t="s">
        <v>50</v>
      </c>
      <c r="N17" s="11" t="s">
        <v>49</v>
      </c>
      <c r="O17" s="11" t="s">
        <v>48</v>
      </c>
      <c r="P17" s="14" t="s">
        <v>47</v>
      </c>
    </row>
    <row r="18" spans="1:16" s="22" customFormat="1" ht="32.1" customHeight="1" thickBot="1" x14ac:dyDescent="0.35">
      <c r="A18" s="15">
        <v>14</v>
      </c>
      <c r="B18" s="21" t="s">
        <v>96</v>
      </c>
      <c r="C18" s="16" t="s">
        <v>13</v>
      </c>
      <c r="D18" s="16" t="s">
        <v>87</v>
      </c>
      <c r="E18" s="16">
        <v>5</v>
      </c>
      <c r="F18" s="16"/>
      <c r="G18" s="16"/>
      <c r="H18" s="16"/>
      <c r="I18" s="16"/>
      <c r="J18" s="16">
        <f t="shared" ref="J18" si="3">SUM(E18:I18)</f>
        <v>5</v>
      </c>
      <c r="K18" s="16" t="s">
        <v>88</v>
      </c>
      <c r="L18" s="17">
        <v>500</v>
      </c>
      <c r="M18" s="18" t="s">
        <v>89</v>
      </c>
      <c r="N18" s="16" t="s">
        <v>90</v>
      </c>
      <c r="O18" s="16" t="s">
        <v>91</v>
      </c>
      <c r="P18" s="19"/>
    </row>
    <row r="19" spans="1:16" ht="9.75" customHeight="1" x14ac:dyDescent="0.3">
      <c r="C19" s="3"/>
      <c r="K19" s="2"/>
      <c r="L19" s="1"/>
      <c r="M19" s="3"/>
      <c r="N19" s="3"/>
    </row>
    <row r="20" spans="1:16" ht="14.25" customHeight="1" x14ac:dyDescent="0.3">
      <c r="A20" s="23" t="s">
        <v>97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5" customHeight="1" x14ac:dyDescent="0.3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16" ht="17.25" customHeight="1" x14ac:dyDescent="0.3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</row>
  </sheetData>
  <mergeCells count="12">
    <mergeCell ref="A20:P22"/>
    <mergeCell ref="O3:O4"/>
    <mergeCell ref="A1:P1"/>
    <mergeCell ref="A3:A4"/>
    <mergeCell ref="B3:B4"/>
    <mergeCell ref="D3:D4"/>
    <mergeCell ref="P3:P4"/>
    <mergeCell ref="E3:K3"/>
    <mergeCell ref="L3:L4"/>
    <mergeCell ref="C3:C4"/>
    <mergeCell ref="M3:M4"/>
    <mergeCell ref="N3:N4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0869-B74C-4588-8389-BEAB7B3B3084}">
  <dimension ref="B2:B3"/>
  <sheetViews>
    <sheetView workbookViewId="0">
      <selection activeCell="B2" sqref="B2"/>
    </sheetView>
  </sheetViews>
  <sheetFormatPr defaultRowHeight="16.5" x14ac:dyDescent="0.3"/>
  <cols>
    <col min="2" max="2" width="29" customWidth="1"/>
  </cols>
  <sheetData>
    <row r="2" spans="2:2" x14ac:dyDescent="0.3">
      <c r="B2" t="s">
        <v>13</v>
      </c>
    </row>
    <row r="3" spans="2:2" x14ac:dyDescent="0.3">
      <c r="B3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0CEB-C08E-4AE6-A5C8-750AABFBB7D5}">
  <dimension ref="B2:B3"/>
  <sheetViews>
    <sheetView workbookViewId="0">
      <selection activeCell="B4" sqref="B4"/>
    </sheetView>
  </sheetViews>
  <sheetFormatPr defaultRowHeight="16.5" x14ac:dyDescent="0.3"/>
  <cols>
    <col min="2" max="2" width="16.125" customWidth="1"/>
  </cols>
  <sheetData>
    <row r="2" spans="2:2" x14ac:dyDescent="0.3">
      <c r="B2" t="s">
        <v>9</v>
      </c>
    </row>
    <row r="3" spans="2:2" x14ac:dyDescent="0.3">
      <c r="B3" t="s">
        <v>10</v>
      </c>
    </row>
  </sheetData>
  <sheetProtection algorithmName="SHA-512" hashValue="RVIe98EuBOWn3wS/EdWgBfv/a2jMA2XFgLoHcOr/4ncDUvqUafnUhaQDzo44pTsm6k4RV2czMs1J8QK6NeNEsg==" saltValue="8NSgnV5dYRRpXvPyedKAQQ==" spinCount="100000" sheet="1" objects="1" scenario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전문적학습공동체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2026-02-02T04:36:21Z</cp:lastPrinted>
  <dcterms:created xsi:type="dcterms:W3CDTF">2024-12-24T00:14:19Z</dcterms:created>
  <dcterms:modified xsi:type="dcterms:W3CDTF">2026-02-02T23:56:30Z</dcterms:modified>
</cp:coreProperties>
</file>